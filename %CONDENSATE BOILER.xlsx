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O:\16.UTILITY\utility\6.งานหัวหน้าแผนก BOILER\5.วิเคราะห์ข้อมูลถ่านหินรายวัน\"/>
    </mc:Choice>
  </mc:AlternateContent>
  <bookViews>
    <workbookView xWindow="0" yWindow="0" windowWidth="20490" windowHeight="7275" activeTab="2"/>
  </bookViews>
  <sheets>
    <sheet name="Pivote" sheetId="2" r:id="rId1"/>
    <sheet name="Ghap" sheetId="3" r:id="rId2"/>
    <sheet name="%condent" sheetId="1" r:id="rId3"/>
    <sheet name="Sheet1" sheetId="4" r:id="rId4"/>
    <sheet name="สูตรคำนวนอากาศ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KPIรายวัน">'[1]Electric Cost'!#REF!</definedName>
    <definedName name="ก.พ.">'[1]Electric Cost'!#REF!</definedName>
    <definedName name="ข้อมูลภายนอก_1" localSheetId="2" hidden="1">'%condent'!$A$1:$P$101</definedName>
    <definedName name="ตัวแบ่งส่วนข้อมูล_วันที่">#N/A</definedName>
    <definedName name="ไทม์ไลน์ดั้งเดิม_วันที่">#N/A</definedName>
    <definedName name="มี.ค">'[1]Electric Cost'!#REF!</definedName>
  </definedNames>
  <calcPr calcId="162913"/>
  <pivotCaches>
    <pivotCache cacheId="0" r:id="rId15"/>
  </pivotCaches>
  <extLst>
    <ext xmlns:x14="http://schemas.microsoft.com/office/spreadsheetml/2009/9/main" uri="{BBE1A952-AA13-448e-AADC-164F8A28A991}">
      <x14:slicerCaches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7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4" i="1" l="1"/>
  <c r="C95" i="1"/>
  <c r="C96" i="1"/>
  <c r="C97" i="1"/>
  <c r="C98" i="1"/>
  <c r="C99" i="1"/>
  <c r="C100" i="1"/>
  <c r="C101" i="1"/>
  <c r="C93" i="1"/>
  <c r="B100" i="1" l="1"/>
  <c r="D100" i="1" s="1"/>
  <c r="B101" i="1"/>
  <c r="D101" i="1" s="1"/>
  <c r="E100" i="1"/>
  <c r="E101" i="1" s="1"/>
  <c r="L100" i="1"/>
  <c r="M100" i="1"/>
  <c r="L101" i="1"/>
  <c r="M101" i="1"/>
  <c r="P101" i="1"/>
  <c r="P100" i="1" l="1"/>
  <c r="O100" i="1" s="1"/>
  <c r="H101" i="1"/>
  <c r="I101" i="1" s="1"/>
  <c r="J101" i="1"/>
  <c r="K101" i="1" s="1"/>
  <c r="F100" i="1"/>
  <c r="G100" i="1" s="1"/>
  <c r="H100" i="1"/>
  <c r="I100" i="1" s="1"/>
  <c r="J100" i="1"/>
  <c r="K100" i="1" s="1"/>
  <c r="F101" i="1"/>
  <c r="G101" i="1" s="1"/>
  <c r="N100" i="1"/>
  <c r="O101" i="1"/>
  <c r="N101" i="1"/>
  <c r="B96" i="1"/>
  <c r="E96" i="1"/>
  <c r="E97" i="1" s="1"/>
  <c r="E98" i="1" s="1"/>
  <c r="E99" i="1" s="1"/>
  <c r="L96" i="1"/>
  <c r="M96" i="1"/>
  <c r="P96" i="1"/>
  <c r="B97" i="1"/>
  <c r="D97" i="1" s="1"/>
  <c r="L97" i="1"/>
  <c r="M97" i="1"/>
  <c r="B98" i="1"/>
  <c r="D98" i="1" s="1"/>
  <c r="L98" i="1"/>
  <c r="M98" i="1"/>
  <c r="B99" i="1"/>
  <c r="L99" i="1"/>
  <c r="M99" i="1"/>
  <c r="P97" i="1" l="1"/>
  <c r="N97" i="1" s="1"/>
  <c r="P98" i="1"/>
  <c r="N98" i="1" s="1"/>
  <c r="D96" i="1"/>
  <c r="H96" i="1" s="1"/>
  <c r="I96" i="1" s="1"/>
  <c r="P99" i="1"/>
  <c r="O99" i="1" s="1"/>
  <c r="D99" i="1"/>
  <c r="J99" i="1" s="1"/>
  <c r="K99" i="1" s="1"/>
  <c r="F97" i="1"/>
  <c r="G97" i="1" s="1"/>
  <c r="H97" i="1"/>
  <c r="I97" i="1" s="1"/>
  <c r="J97" i="1"/>
  <c r="K97" i="1" s="1"/>
  <c r="O96" i="1"/>
  <c r="J98" i="1"/>
  <c r="K98" i="1" s="1"/>
  <c r="N96" i="1"/>
  <c r="O97" i="1"/>
  <c r="H98" i="1"/>
  <c r="I98" i="1" s="1"/>
  <c r="O98" i="1"/>
  <c r="B95" i="1"/>
  <c r="E95" i="1"/>
  <c r="L95" i="1"/>
  <c r="M95" i="1"/>
  <c r="F99" i="1" l="1"/>
  <c r="G99" i="1" s="1"/>
  <c r="J96" i="1"/>
  <c r="K96" i="1" s="1"/>
  <c r="H99" i="1"/>
  <c r="I99" i="1" s="1"/>
  <c r="F98" i="1"/>
  <c r="G98" i="1" s="1"/>
  <c r="F96" i="1"/>
  <c r="G96" i="1" s="1"/>
  <c r="N99" i="1"/>
  <c r="P95" i="1"/>
  <c r="N95" i="1" s="1"/>
  <c r="D95" i="1"/>
  <c r="B94" i="1"/>
  <c r="E94" i="1"/>
  <c r="L94" i="1"/>
  <c r="M94" i="1"/>
  <c r="M93" i="1"/>
  <c r="L93" i="1"/>
  <c r="B93" i="1"/>
  <c r="D93" i="1" s="1"/>
  <c r="J93" i="1" s="1"/>
  <c r="K93" i="1" s="1"/>
  <c r="E93" i="1"/>
  <c r="F95" i="1" l="1"/>
  <c r="G95" i="1" s="1"/>
  <c r="O95" i="1"/>
  <c r="J95" i="1"/>
  <c r="K95" i="1" s="1"/>
  <c r="D94" i="1"/>
  <c r="J94" i="1" s="1"/>
  <c r="K94" i="1" s="1"/>
  <c r="H95" i="1"/>
  <c r="I95" i="1" s="1"/>
  <c r="P94" i="1"/>
  <c r="O94" i="1" s="1"/>
  <c r="P93" i="1"/>
  <c r="O93" i="1" s="1"/>
  <c r="H93" i="1"/>
  <c r="I93" i="1" s="1"/>
  <c r="B89" i="1"/>
  <c r="C89" i="1"/>
  <c r="E89" i="1"/>
  <c r="E90" i="1" s="1"/>
  <c r="E91" i="1" s="1"/>
  <c r="E92" i="1" s="1"/>
  <c r="L89" i="1"/>
  <c r="M89" i="1"/>
  <c r="B90" i="1"/>
  <c r="C90" i="1"/>
  <c r="L90" i="1"/>
  <c r="M90" i="1"/>
  <c r="B91" i="1"/>
  <c r="C91" i="1"/>
  <c r="L91" i="1"/>
  <c r="M91" i="1"/>
  <c r="B92" i="1"/>
  <c r="C92" i="1"/>
  <c r="L92" i="1"/>
  <c r="M92" i="1"/>
  <c r="H94" i="1" l="1"/>
  <c r="I94" i="1" s="1"/>
  <c r="N93" i="1"/>
  <c r="D91" i="1"/>
  <c r="J91" i="1" s="1"/>
  <c r="K91" i="1" s="1"/>
  <c r="D90" i="1"/>
  <c r="J90" i="1" s="1"/>
  <c r="K90" i="1" s="1"/>
  <c r="F93" i="1"/>
  <c r="G93" i="1" s="1"/>
  <c r="F94" i="1"/>
  <c r="G94" i="1" s="1"/>
  <c r="N94" i="1"/>
  <c r="D92" i="1"/>
  <c r="H92" i="1" s="1"/>
  <c r="I92" i="1" s="1"/>
  <c r="P89" i="1"/>
  <c r="O89" i="1" s="1"/>
  <c r="D89" i="1"/>
  <c r="J89" i="1" s="1"/>
  <c r="K89" i="1" s="1"/>
  <c r="P90" i="1"/>
  <c r="O90" i="1" s="1"/>
  <c r="H90" i="1"/>
  <c r="I90" i="1" s="1"/>
  <c r="P91" i="1"/>
  <c r="O91" i="1" s="1"/>
  <c r="P92" i="1"/>
  <c r="F8" i="5"/>
  <c r="H8" i="5" s="1"/>
  <c r="H11" i="5"/>
  <c r="G11" i="5"/>
  <c r="G8" i="5"/>
  <c r="N53" i="5"/>
  <c r="N69" i="5"/>
  <c r="H91" i="1" l="1"/>
  <c r="I91" i="1" s="1"/>
  <c r="H89" i="1"/>
  <c r="I89" i="1" s="1"/>
  <c r="N89" i="1"/>
  <c r="F90" i="1"/>
  <c r="G90" i="1" s="1"/>
  <c r="J92" i="1"/>
  <c r="K92" i="1" s="1"/>
  <c r="F89" i="1"/>
  <c r="G89" i="1" s="1"/>
  <c r="N91" i="1"/>
  <c r="F91" i="1"/>
  <c r="G91" i="1" s="1"/>
  <c r="N92" i="1"/>
  <c r="F92" i="1"/>
  <c r="G92" i="1" s="1"/>
  <c r="N90" i="1"/>
  <c r="O92" i="1"/>
  <c r="I19" i="5"/>
  <c r="I8" i="5"/>
  <c r="I16" i="5" s="1"/>
  <c r="B88" i="1"/>
  <c r="C88" i="1"/>
  <c r="E88" i="1"/>
  <c r="L88" i="1"/>
  <c r="M88" i="1"/>
  <c r="B84" i="1"/>
  <c r="C84" i="1"/>
  <c r="E84" i="1"/>
  <c r="E85" i="1" s="1"/>
  <c r="E86" i="1" s="1"/>
  <c r="E87" i="1" s="1"/>
  <c r="L84" i="1"/>
  <c r="M84" i="1"/>
  <c r="B85" i="1"/>
  <c r="C85" i="1"/>
  <c r="L85" i="1"/>
  <c r="M85" i="1"/>
  <c r="B86" i="1"/>
  <c r="C86" i="1"/>
  <c r="L86" i="1"/>
  <c r="M86" i="1"/>
  <c r="B87" i="1"/>
  <c r="C87" i="1"/>
  <c r="L87" i="1"/>
  <c r="M87" i="1"/>
  <c r="P88" i="1" l="1"/>
  <c r="N88" i="1" s="1"/>
  <c r="D86" i="1"/>
  <c r="J86" i="1" s="1"/>
  <c r="K86" i="1" s="1"/>
  <c r="D87" i="1"/>
  <c r="J87" i="1" s="1"/>
  <c r="K87" i="1" s="1"/>
  <c r="D85" i="1"/>
  <c r="J85" i="1" s="1"/>
  <c r="K85" i="1" s="1"/>
  <c r="D84" i="1"/>
  <c r="J84" i="1" s="1"/>
  <c r="K84" i="1" s="1"/>
  <c r="D88" i="1"/>
  <c r="P84" i="1"/>
  <c r="N84" i="1" s="1"/>
  <c r="P85" i="1"/>
  <c r="O85" i="1" s="1"/>
  <c r="P86" i="1"/>
  <c r="O86" i="1" s="1"/>
  <c r="P87" i="1"/>
  <c r="O87" i="1" s="1"/>
  <c r="B81" i="1"/>
  <c r="C81" i="1"/>
  <c r="E81" i="1"/>
  <c r="E82" i="1" s="1"/>
  <c r="E83" i="1" s="1"/>
  <c r="L81" i="1"/>
  <c r="M81" i="1"/>
  <c r="B82" i="1"/>
  <c r="C82" i="1"/>
  <c r="L82" i="1"/>
  <c r="M82" i="1"/>
  <c r="B83" i="1"/>
  <c r="C83" i="1"/>
  <c r="L83" i="1"/>
  <c r="M83" i="1"/>
  <c r="O88" i="1" l="1"/>
  <c r="F88" i="1"/>
  <c r="G88" i="1" s="1"/>
  <c r="H86" i="1"/>
  <c r="I86" i="1" s="1"/>
  <c r="J88" i="1"/>
  <c r="K88" i="1" s="1"/>
  <c r="H88" i="1"/>
  <c r="I88" i="1" s="1"/>
  <c r="H85" i="1"/>
  <c r="I85" i="1" s="1"/>
  <c r="D82" i="1"/>
  <c r="J82" i="1" s="1"/>
  <c r="K82" i="1" s="1"/>
  <c r="F84" i="1"/>
  <c r="G84" i="1" s="1"/>
  <c r="H84" i="1"/>
  <c r="I84" i="1" s="1"/>
  <c r="H87" i="1"/>
  <c r="I87" i="1" s="1"/>
  <c r="D81" i="1"/>
  <c r="H81" i="1" s="1"/>
  <c r="I81" i="1" s="1"/>
  <c r="N85" i="1"/>
  <c r="O84" i="1"/>
  <c r="D83" i="1"/>
  <c r="H83" i="1" s="1"/>
  <c r="I83" i="1" s="1"/>
  <c r="N86" i="1"/>
  <c r="F86" i="1"/>
  <c r="G86" i="1" s="1"/>
  <c r="F85" i="1"/>
  <c r="G85" i="1" s="1"/>
  <c r="F87" i="1"/>
  <c r="G87" i="1" s="1"/>
  <c r="N87" i="1"/>
  <c r="P81" i="1"/>
  <c r="P82" i="1"/>
  <c r="P83" i="1"/>
  <c r="B79" i="1"/>
  <c r="C79" i="1"/>
  <c r="E79" i="1"/>
  <c r="E80" i="1" s="1"/>
  <c r="L79" i="1"/>
  <c r="M79" i="1"/>
  <c r="B80" i="1"/>
  <c r="C80" i="1"/>
  <c r="L80" i="1"/>
  <c r="M80" i="1"/>
  <c r="J81" i="1" l="1"/>
  <c r="K81" i="1" s="1"/>
  <c r="F81" i="1"/>
  <c r="G81" i="1" s="1"/>
  <c r="H82" i="1"/>
  <c r="I82" i="1" s="1"/>
  <c r="P79" i="1"/>
  <c r="N79" i="1" s="1"/>
  <c r="P80" i="1"/>
  <c r="N80" i="1" s="1"/>
  <c r="N81" i="1"/>
  <c r="D79" i="1"/>
  <c r="J79" i="1" s="1"/>
  <c r="K79" i="1" s="1"/>
  <c r="O81" i="1"/>
  <c r="J83" i="1"/>
  <c r="K83" i="1" s="1"/>
  <c r="F82" i="1"/>
  <c r="G82" i="1" s="1"/>
  <c r="N82" i="1"/>
  <c r="O83" i="1"/>
  <c r="N83" i="1"/>
  <c r="F83" i="1"/>
  <c r="G83" i="1" s="1"/>
  <c r="O82" i="1"/>
  <c r="D80" i="1"/>
  <c r="J80" i="1" s="1"/>
  <c r="K80" i="1" s="1"/>
  <c r="B74" i="1"/>
  <c r="C74" i="1"/>
  <c r="E74" i="1"/>
  <c r="E75" i="1" s="1"/>
  <c r="E76" i="1" s="1"/>
  <c r="E77" i="1" s="1"/>
  <c r="E78" i="1" s="1"/>
  <c r="L74" i="1"/>
  <c r="M74" i="1"/>
  <c r="B75" i="1"/>
  <c r="C75" i="1"/>
  <c r="L75" i="1"/>
  <c r="M75" i="1"/>
  <c r="B76" i="1"/>
  <c r="C76" i="1"/>
  <c r="L76" i="1"/>
  <c r="M76" i="1"/>
  <c r="B77" i="1"/>
  <c r="C77" i="1"/>
  <c r="L77" i="1"/>
  <c r="M77" i="1"/>
  <c r="B78" i="1"/>
  <c r="C78" i="1"/>
  <c r="L78" i="1"/>
  <c r="M78" i="1"/>
  <c r="O80" i="1" l="1"/>
  <c r="P74" i="1"/>
  <c r="N74" i="1" s="1"/>
  <c r="O79" i="1"/>
  <c r="H79" i="1"/>
  <c r="I79" i="1" s="1"/>
  <c r="F79" i="1"/>
  <c r="G79" i="1" s="1"/>
  <c r="D76" i="1"/>
  <c r="J76" i="1" s="1"/>
  <c r="K76" i="1" s="1"/>
  <c r="H80" i="1"/>
  <c r="I80" i="1" s="1"/>
  <c r="F80" i="1"/>
  <c r="G80" i="1" s="1"/>
  <c r="D78" i="1"/>
  <c r="H78" i="1" s="1"/>
  <c r="I78" i="1" s="1"/>
  <c r="D77" i="1"/>
  <c r="H77" i="1" s="1"/>
  <c r="I77" i="1" s="1"/>
  <c r="D75" i="1"/>
  <c r="H75" i="1" s="1"/>
  <c r="I75" i="1" s="1"/>
  <c r="P75" i="1"/>
  <c r="N75" i="1" s="1"/>
  <c r="P76" i="1"/>
  <c r="O76" i="1" s="1"/>
  <c r="D74" i="1"/>
  <c r="P77" i="1"/>
  <c r="O77" i="1" s="1"/>
  <c r="P78" i="1"/>
  <c r="O78" i="1" s="1"/>
  <c r="F172" i="4"/>
  <c r="G172" i="4" s="1"/>
  <c r="F173" i="4"/>
  <c r="F174" i="4"/>
  <c r="F175" i="4"/>
  <c r="F171" i="4"/>
  <c r="G171" i="4" s="1"/>
  <c r="O74" i="1" l="1"/>
  <c r="F74" i="1"/>
  <c r="G74" i="1" s="1"/>
  <c r="J78" i="1"/>
  <c r="K78" i="1" s="1"/>
  <c r="J77" i="1"/>
  <c r="K77" i="1" s="1"/>
  <c r="H76" i="1"/>
  <c r="I76" i="1" s="1"/>
  <c r="J75" i="1"/>
  <c r="K75" i="1" s="1"/>
  <c r="H74" i="1"/>
  <c r="I74" i="1" s="1"/>
  <c r="J74" i="1"/>
  <c r="K74" i="1" s="1"/>
  <c r="O75" i="1"/>
  <c r="F75" i="1"/>
  <c r="G75" i="1" s="1"/>
  <c r="N76" i="1"/>
  <c r="F77" i="1"/>
  <c r="G77" i="1" s="1"/>
  <c r="F76" i="1"/>
  <c r="G76" i="1" s="1"/>
  <c r="N77" i="1"/>
  <c r="N78" i="1"/>
  <c r="F78" i="1"/>
  <c r="G78" i="1" s="1"/>
  <c r="H172" i="4"/>
  <c r="I172" i="4"/>
  <c r="I171" i="4"/>
  <c r="H171" i="4"/>
  <c r="B72" i="1"/>
  <c r="C72" i="1"/>
  <c r="E72" i="1"/>
  <c r="E73" i="1" s="1"/>
  <c r="L72" i="1"/>
  <c r="M72" i="1"/>
  <c r="B73" i="1"/>
  <c r="C73" i="1"/>
  <c r="L73" i="1"/>
  <c r="M73" i="1"/>
  <c r="P72" i="1" l="1"/>
  <c r="N72" i="1" s="1"/>
  <c r="D73" i="1"/>
  <c r="H73" i="1" s="1"/>
  <c r="I73" i="1" s="1"/>
  <c r="P73" i="1"/>
  <c r="O73" i="1" s="1"/>
  <c r="D72" i="1"/>
  <c r="H72" i="1" s="1"/>
  <c r="I72" i="1" s="1"/>
  <c r="B67" i="1"/>
  <c r="C67" i="1"/>
  <c r="E67" i="1"/>
  <c r="E68" i="1" s="1"/>
  <c r="E69" i="1" s="1"/>
  <c r="E70" i="1" s="1"/>
  <c r="E71" i="1" s="1"/>
  <c r="L67" i="1"/>
  <c r="M67" i="1"/>
  <c r="B68" i="1"/>
  <c r="C68" i="1"/>
  <c r="L68" i="1"/>
  <c r="M68" i="1"/>
  <c r="B69" i="1"/>
  <c r="C69" i="1"/>
  <c r="L69" i="1"/>
  <c r="M69" i="1"/>
  <c r="B70" i="1"/>
  <c r="C70" i="1"/>
  <c r="L70" i="1"/>
  <c r="M70" i="1"/>
  <c r="B71" i="1"/>
  <c r="C71" i="1"/>
  <c r="L71" i="1"/>
  <c r="M71" i="1"/>
  <c r="O72" i="1" l="1"/>
  <c r="P69" i="1"/>
  <c r="N69" i="1" s="1"/>
  <c r="J72" i="1"/>
  <c r="K72" i="1" s="1"/>
  <c r="F73" i="1"/>
  <c r="G73" i="1" s="1"/>
  <c r="J73" i="1"/>
  <c r="K73" i="1" s="1"/>
  <c r="F72" i="1"/>
  <c r="G72" i="1" s="1"/>
  <c r="N73" i="1"/>
  <c r="D71" i="1"/>
  <c r="H71" i="1" s="1"/>
  <c r="I71" i="1" s="1"/>
  <c r="D67" i="1"/>
  <c r="J67" i="1" s="1"/>
  <c r="K67" i="1" s="1"/>
  <c r="P68" i="1"/>
  <c r="N68" i="1" s="1"/>
  <c r="D70" i="1"/>
  <c r="H70" i="1" s="1"/>
  <c r="I70" i="1" s="1"/>
  <c r="P67" i="1"/>
  <c r="O67" i="1" s="1"/>
  <c r="D68" i="1"/>
  <c r="D69" i="1"/>
  <c r="H69" i="1" s="1"/>
  <c r="I69" i="1" s="1"/>
  <c r="P70" i="1"/>
  <c r="O70" i="1" s="1"/>
  <c r="P71" i="1"/>
  <c r="O71" i="1" s="1"/>
  <c r="C55" i="1"/>
  <c r="C56" i="1"/>
  <c r="C57" i="1"/>
  <c r="C58" i="1"/>
  <c r="C59" i="1"/>
  <c r="C60" i="1"/>
  <c r="C61" i="1"/>
  <c r="C62" i="1"/>
  <c r="C45" i="1"/>
  <c r="C46" i="1"/>
  <c r="C47" i="1"/>
  <c r="C48" i="1"/>
  <c r="C49" i="1"/>
  <c r="C50" i="1"/>
  <c r="C51" i="1"/>
  <c r="C52" i="1"/>
  <c r="C53" i="1"/>
  <c r="C54" i="1"/>
  <c r="C33" i="1"/>
  <c r="C34" i="1"/>
  <c r="C35" i="1"/>
  <c r="C36" i="1"/>
  <c r="C37" i="1"/>
  <c r="C38" i="1"/>
  <c r="C39" i="1"/>
  <c r="C40" i="1"/>
  <c r="C41" i="1"/>
  <c r="C42" i="1"/>
  <c r="C43" i="1"/>
  <c r="C44" i="1"/>
  <c r="C32" i="1"/>
  <c r="C64" i="1"/>
  <c r="C65" i="1"/>
  <c r="C66" i="1"/>
  <c r="C63" i="1"/>
  <c r="O69" i="1" l="1"/>
  <c r="H67" i="1"/>
  <c r="I67" i="1" s="1"/>
  <c r="N67" i="1"/>
  <c r="J71" i="1"/>
  <c r="K71" i="1" s="1"/>
  <c r="F68" i="1"/>
  <c r="G68" i="1" s="1"/>
  <c r="O68" i="1"/>
  <c r="F67" i="1"/>
  <c r="G67" i="1" s="1"/>
  <c r="J70" i="1"/>
  <c r="K70" i="1" s="1"/>
  <c r="H68" i="1"/>
  <c r="I68" i="1" s="1"/>
  <c r="N71" i="1"/>
  <c r="F70" i="1"/>
  <c r="G70" i="1" s="1"/>
  <c r="N70" i="1"/>
  <c r="J68" i="1"/>
  <c r="K68" i="1" s="1"/>
  <c r="J69" i="1"/>
  <c r="K69" i="1" s="1"/>
  <c r="F69" i="1"/>
  <c r="G69" i="1" s="1"/>
  <c r="F71" i="1"/>
  <c r="G71" i="1" s="1"/>
  <c r="B66" i="1"/>
  <c r="D66" i="1" s="1"/>
  <c r="E66" i="1"/>
  <c r="L66" i="1"/>
  <c r="M66" i="1"/>
  <c r="P66" i="1" l="1"/>
  <c r="O66" i="1" s="1"/>
  <c r="H66" i="1"/>
  <c r="I66" i="1" s="1"/>
  <c r="J66" i="1"/>
  <c r="K66" i="1" s="1"/>
  <c r="B65" i="1"/>
  <c r="E65" i="1"/>
  <c r="L65" i="1"/>
  <c r="M65" i="1"/>
  <c r="B64" i="1"/>
  <c r="E64" i="1"/>
  <c r="L64" i="1"/>
  <c r="M64" i="1"/>
  <c r="M63" i="1"/>
  <c r="L63" i="1"/>
  <c r="B63" i="1"/>
  <c r="E63" i="1"/>
  <c r="B62" i="1"/>
  <c r="D62" i="1" s="1"/>
  <c r="E62" i="1"/>
  <c r="L62" i="1"/>
  <c r="M62" i="1"/>
  <c r="F66" i="1" l="1"/>
  <c r="G66" i="1" s="1"/>
  <c r="P65" i="1"/>
  <c r="O65" i="1" s="1"/>
  <c r="P62" i="1"/>
  <c r="O62" i="1" s="1"/>
  <c r="N66" i="1"/>
  <c r="P63" i="1"/>
  <c r="N63" i="1" s="1"/>
  <c r="D65" i="1"/>
  <c r="D64" i="1"/>
  <c r="H64" i="1" s="1"/>
  <c r="I64" i="1" s="1"/>
  <c r="P64" i="1"/>
  <c r="O64" i="1" s="1"/>
  <c r="D63" i="1"/>
  <c r="J63" i="1" s="1"/>
  <c r="K63" i="1" s="1"/>
  <c r="H62" i="1"/>
  <c r="I62" i="1" s="1"/>
  <c r="J62" i="1"/>
  <c r="K62" i="1" s="1"/>
  <c r="B61" i="1"/>
  <c r="D61" i="1" s="1"/>
  <c r="E61" i="1"/>
  <c r="L61" i="1"/>
  <c r="M61" i="1"/>
  <c r="F65" i="1" l="1"/>
  <c r="G65" i="1" s="1"/>
  <c r="N62" i="1"/>
  <c r="F62" i="1"/>
  <c r="G62" i="1" s="1"/>
  <c r="P61" i="1"/>
  <c r="N61" i="1" s="1"/>
  <c r="N65" i="1"/>
  <c r="H61" i="1"/>
  <c r="I61" i="1" s="1"/>
  <c r="H65" i="1"/>
  <c r="I65" i="1" s="1"/>
  <c r="J65" i="1"/>
  <c r="K65" i="1" s="1"/>
  <c r="O63" i="1"/>
  <c r="J64" i="1"/>
  <c r="K64" i="1" s="1"/>
  <c r="F64" i="1"/>
  <c r="G64" i="1" s="1"/>
  <c r="N64" i="1"/>
  <c r="F63" i="1"/>
  <c r="G63" i="1" s="1"/>
  <c r="H63" i="1"/>
  <c r="I63" i="1" s="1"/>
  <c r="J61" i="1"/>
  <c r="K61" i="1" s="1"/>
  <c r="B55" i="1"/>
  <c r="E55" i="1"/>
  <c r="E56" i="1" s="1"/>
  <c r="E57" i="1" s="1"/>
  <c r="E58" i="1" s="1"/>
  <c r="E59" i="1" s="1"/>
  <c r="E60" i="1" s="1"/>
  <c r="L55" i="1"/>
  <c r="M55" i="1"/>
  <c r="B56" i="1"/>
  <c r="L56" i="1"/>
  <c r="M56" i="1"/>
  <c r="B57" i="1"/>
  <c r="L57" i="1"/>
  <c r="M57" i="1"/>
  <c r="B58" i="1"/>
  <c r="L58" i="1"/>
  <c r="M58" i="1"/>
  <c r="B59" i="1"/>
  <c r="L59" i="1"/>
  <c r="M59" i="1"/>
  <c r="B60" i="1"/>
  <c r="L60" i="1"/>
  <c r="M60" i="1"/>
  <c r="F61" i="1" l="1"/>
  <c r="G61" i="1" s="1"/>
  <c r="O61" i="1"/>
  <c r="P60" i="1"/>
  <c r="O60" i="1" s="1"/>
  <c r="P55" i="1"/>
  <c r="N55" i="1" s="1"/>
  <c r="D57" i="1"/>
  <c r="H57" i="1" s="1"/>
  <c r="I57" i="1" s="1"/>
  <c r="D59" i="1"/>
  <c r="H59" i="1" s="1"/>
  <c r="I59" i="1" s="1"/>
  <c r="P59" i="1"/>
  <c r="P56" i="1"/>
  <c r="O56" i="1" s="1"/>
  <c r="D55" i="1"/>
  <c r="D58" i="1"/>
  <c r="H58" i="1" s="1"/>
  <c r="I58" i="1" s="1"/>
  <c r="P57" i="1"/>
  <c r="N57" i="1" s="1"/>
  <c r="D56" i="1"/>
  <c r="J56" i="1" s="1"/>
  <c r="K56" i="1" s="1"/>
  <c r="D60" i="1"/>
  <c r="J60" i="1" s="1"/>
  <c r="K60" i="1" s="1"/>
  <c r="P58" i="1"/>
  <c r="B52" i="1"/>
  <c r="E52" i="1"/>
  <c r="E53" i="1" s="1"/>
  <c r="E54" i="1" s="1"/>
  <c r="L52" i="1"/>
  <c r="M52" i="1"/>
  <c r="B53" i="1"/>
  <c r="L53" i="1"/>
  <c r="M53" i="1"/>
  <c r="B54" i="1"/>
  <c r="L54" i="1"/>
  <c r="M54" i="1"/>
  <c r="N60" i="1" l="1"/>
  <c r="P52" i="1"/>
  <c r="N52" i="1" s="1"/>
  <c r="F55" i="1"/>
  <c r="G55" i="1" s="1"/>
  <c r="O55" i="1"/>
  <c r="P54" i="1"/>
  <c r="O54" i="1" s="1"/>
  <c r="F59" i="1"/>
  <c r="G59" i="1" s="1"/>
  <c r="J59" i="1"/>
  <c r="K59" i="1" s="1"/>
  <c r="J58" i="1"/>
  <c r="K58" i="1" s="1"/>
  <c r="F58" i="1"/>
  <c r="G58" i="1" s="1"/>
  <c r="F57" i="1"/>
  <c r="G57" i="1" s="1"/>
  <c r="N59" i="1"/>
  <c r="J57" i="1"/>
  <c r="K57" i="1" s="1"/>
  <c r="O57" i="1"/>
  <c r="H55" i="1"/>
  <c r="I55" i="1" s="1"/>
  <c r="J55" i="1"/>
  <c r="K55" i="1" s="1"/>
  <c r="D52" i="1"/>
  <c r="O59" i="1"/>
  <c r="N56" i="1"/>
  <c r="P53" i="1"/>
  <c r="O53" i="1" s="1"/>
  <c r="F60" i="1"/>
  <c r="G60" i="1" s="1"/>
  <c r="H60" i="1"/>
  <c r="I60" i="1" s="1"/>
  <c r="O58" i="1"/>
  <c r="F56" i="1"/>
  <c r="G56" i="1" s="1"/>
  <c r="N58" i="1"/>
  <c r="H56" i="1"/>
  <c r="I56" i="1" s="1"/>
  <c r="D53" i="1"/>
  <c r="H53" i="1" s="1"/>
  <c r="I53" i="1" s="1"/>
  <c r="D54" i="1"/>
  <c r="B47" i="1"/>
  <c r="E47" i="1"/>
  <c r="L47" i="1"/>
  <c r="M47" i="1"/>
  <c r="B48" i="1"/>
  <c r="E48" i="1"/>
  <c r="L48" i="1"/>
  <c r="M48" i="1"/>
  <c r="B49" i="1"/>
  <c r="E49" i="1"/>
  <c r="L49" i="1"/>
  <c r="M49" i="1"/>
  <c r="B50" i="1"/>
  <c r="E50" i="1"/>
  <c r="E51" i="1" s="1"/>
  <c r="L50" i="1"/>
  <c r="M50" i="1"/>
  <c r="B51" i="1"/>
  <c r="L51" i="1"/>
  <c r="M51" i="1"/>
  <c r="F54" i="1" l="1"/>
  <c r="G54" i="1" s="1"/>
  <c r="N54" i="1"/>
  <c r="F52" i="1"/>
  <c r="G52" i="1" s="1"/>
  <c r="P47" i="1"/>
  <c r="O47" i="1" s="1"/>
  <c r="O52" i="1"/>
  <c r="H52" i="1"/>
  <c r="I52" i="1" s="1"/>
  <c r="H54" i="1"/>
  <c r="I54" i="1" s="1"/>
  <c r="J52" i="1"/>
  <c r="K52" i="1" s="1"/>
  <c r="D50" i="1"/>
  <c r="H50" i="1" s="1"/>
  <c r="I50" i="1" s="1"/>
  <c r="P49" i="1"/>
  <c r="N49" i="1" s="1"/>
  <c r="F53" i="1"/>
  <c r="G53" i="1" s="1"/>
  <c r="J53" i="1"/>
  <c r="K53" i="1" s="1"/>
  <c r="N53" i="1"/>
  <c r="J54" i="1"/>
  <c r="K54" i="1" s="1"/>
  <c r="P51" i="1"/>
  <c r="N51" i="1" s="1"/>
  <c r="D47" i="1"/>
  <c r="D51" i="1"/>
  <c r="J51" i="1" s="1"/>
  <c r="K51" i="1" s="1"/>
  <c r="D48" i="1"/>
  <c r="J48" i="1" s="1"/>
  <c r="K48" i="1" s="1"/>
  <c r="D49" i="1"/>
  <c r="P48" i="1"/>
  <c r="N48" i="1" s="1"/>
  <c r="P50" i="1"/>
  <c r="O50" i="1" s="1"/>
  <c r="B37" i="1"/>
  <c r="E37" i="1"/>
  <c r="L37" i="1"/>
  <c r="M37" i="1"/>
  <c r="B38" i="1"/>
  <c r="E38" i="1"/>
  <c r="L38" i="1"/>
  <c r="M38" i="1"/>
  <c r="B39" i="1"/>
  <c r="E39" i="1"/>
  <c r="E40" i="1" s="1"/>
  <c r="E41" i="1" s="1"/>
  <c r="E42" i="1" s="1"/>
  <c r="E43" i="1" s="1"/>
  <c r="E44" i="1" s="1"/>
  <c r="E45" i="1" s="1"/>
  <c r="E46" i="1" s="1"/>
  <c r="L39" i="1"/>
  <c r="M39" i="1"/>
  <c r="B40" i="1"/>
  <c r="L40" i="1"/>
  <c r="M40" i="1"/>
  <c r="B41" i="1"/>
  <c r="L41" i="1"/>
  <c r="M41" i="1"/>
  <c r="B42" i="1"/>
  <c r="L42" i="1"/>
  <c r="M42" i="1"/>
  <c r="B43" i="1"/>
  <c r="L43" i="1"/>
  <c r="M43" i="1"/>
  <c r="B44" i="1"/>
  <c r="L44" i="1"/>
  <c r="M44" i="1"/>
  <c r="B45" i="1"/>
  <c r="L45" i="1"/>
  <c r="M45" i="1"/>
  <c r="B46" i="1"/>
  <c r="L46" i="1"/>
  <c r="M46" i="1"/>
  <c r="N47" i="1" l="1"/>
  <c r="F47" i="1"/>
  <c r="G47" i="1" s="1"/>
  <c r="P40" i="1"/>
  <c r="O40" i="1" s="1"/>
  <c r="O49" i="1"/>
  <c r="J50" i="1"/>
  <c r="K50" i="1" s="1"/>
  <c r="H51" i="1"/>
  <c r="I51" i="1" s="1"/>
  <c r="F49" i="1"/>
  <c r="G49" i="1" s="1"/>
  <c r="F51" i="1"/>
  <c r="G51" i="1" s="1"/>
  <c r="H47" i="1"/>
  <c r="I47" i="1" s="1"/>
  <c r="P38" i="1"/>
  <c r="N38" i="1" s="1"/>
  <c r="P41" i="1"/>
  <c r="N41" i="1" s="1"/>
  <c r="J47" i="1"/>
  <c r="K47" i="1" s="1"/>
  <c r="F48" i="1"/>
  <c r="G48" i="1" s="1"/>
  <c r="O51" i="1"/>
  <c r="D45" i="1"/>
  <c r="J45" i="1" s="1"/>
  <c r="K45" i="1" s="1"/>
  <c r="P39" i="1"/>
  <c r="N39" i="1" s="1"/>
  <c r="O48" i="1"/>
  <c r="H49" i="1"/>
  <c r="I49" i="1" s="1"/>
  <c r="F50" i="1"/>
  <c r="G50" i="1" s="1"/>
  <c r="J49" i="1"/>
  <c r="K49" i="1" s="1"/>
  <c r="D40" i="1"/>
  <c r="H40" i="1" s="1"/>
  <c r="I40" i="1" s="1"/>
  <c r="D41" i="1"/>
  <c r="H41" i="1" s="1"/>
  <c r="I41" i="1" s="1"/>
  <c r="P42" i="1"/>
  <c r="N42" i="1" s="1"/>
  <c r="D44" i="1"/>
  <c r="H44" i="1" s="1"/>
  <c r="I44" i="1" s="1"/>
  <c r="H48" i="1"/>
  <c r="I48" i="1" s="1"/>
  <c r="N50" i="1"/>
  <c r="D42" i="1"/>
  <c r="J42" i="1" s="1"/>
  <c r="K42" i="1" s="1"/>
  <c r="D39" i="1"/>
  <c r="P37" i="1"/>
  <c r="N37" i="1" s="1"/>
  <c r="D38" i="1"/>
  <c r="J38" i="1" s="1"/>
  <c r="K38" i="1" s="1"/>
  <c r="P43" i="1"/>
  <c r="N43" i="1" s="1"/>
  <c r="P46" i="1"/>
  <c r="O46" i="1" s="1"/>
  <c r="P44" i="1"/>
  <c r="N44" i="1" s="1"/>
  <c r="D46" i="1"/>
  <c r="H46" i="1" s="1"/>
  <c r="I46" i="1" s="1"/>
  <c r="D37" i="1"/>
  <c r="D43" i="1"/>
  <c r="P45" i="1"/>
  <c r="B34" i="1"/>
  <c r="E34" i="1"/>
  <c r="L34" i="1"/>
  <c r="M34" i="1"/>
  <c r="B35" i="1"/>
  <c r="E35" i="1"/>
  <c r="E36" i="1" s="1"/>
  <c r="L35" i="1"/>
  <c r="M35" i="1"/>
  <c r="B36" i="1"/>
  <c r="L36" i="1"/>
  <c r="M36" i="1"/>
  <c r="O42" i="1" l="1"/>
  <c r="N40" i="1"/>
  <c r="F45" i="1"/>
  <c r="G45" i="1" s="1"/>
  <c r="O38" i="1"/>
  <c r="F37" i="1"/>
  <c r="G37" i="1" s="1"/>
  <c r="O41" i="1"/>
  <c r="J44" i="1"/>
  <c r="K44" i="1" s="1"/>
  <c r="F40" i="1"/>
  <c r="G40" i="1" s="1"/>
  <c r="H45" i="1"/>
  <c r="I45" i="1" s="1"/>
  <c r="J40" i="1"/>
  <c r="K40" i="1" s="1"/>
  <c r="P34" i="1"/>
  <c r="O34" i="1" s="1"/>
  <c r="F39" i="1"/>
  <c r="G39" i="1" s="1"/>
  <c r="H38" i="1"/>
  <c r="I38" i="1" s="1"/>
  <c r="O39" i="1"/>
  <c r="F38" i="1"/>
  <c r="G38" i="1" s="1"/>
  <c r="J41" i="1"/>
  <c r="K41" i="1" s="1"/>
  <c r="F41" i="1"/>
  <c r="G41" i="1" s="1"/>
  <c r="P35" i="1"/>
  <c r="N35" i="1" s="1"/>
  <c r="O37" i="1"/>
  <c r="F42" i="1"/>
  <c r="G42" i="1" s="1"/>
  <c r="P36" i="1"/>
  <c r="N36" i="1" s="1"/>
  <c r="N46" i="1"/>
  <c r="J46" i="1"/>
  <c r="K46" i="1" s="1"/>
  <c r="O44" i="1"/>
  <c r="F44" i="1"/>
  <c r="G44" i="1" s="1"/>
  <c r="O43" i="1"/>
  <c r="H42" i="1"/>
  <c r="I42" i="1" s="1"/>
  <c r="F43" i="1"/>
  <c r="G43" i="1" s="1"/>
  <c r="J39" i="1"/>
  <c r="K39" i="1" s="1"/>
  <c r="H39" i="1"/>
  <c r="I39" i="1" s="1"/>
  <c r="H37" i="1"/>
  <c r="I37" i="1" s="1"/>
  <c r="J43" i="1"/>
  <c r="K43" i="1" s="1"/>
  <c r="O45" i="1"/>
  <c r="F46" i="1"/>
  <c r="G46" i="1" s="1"/>
  <c r="J37" i="1"/>
  <c r="K37" i="1" s="1"/>
  <c r="H43" i="1"/>
  <c r="I43" i="1" s="1"/>
  <c r="N45" i="1"/>
  <c r="D34" i="1"/>
  <c r="H34" i="1" s="1"/>
  <c r="I34" i="1" s="1"/>
  <c r="D35" i="1"/>
  <c r="D36" i="1"/>
  <c r="J36" i="1" s="1"/>
  <c r="K36" i="1" s="1"/>
  <c r="B33" i="1"/>
  <c r="E33" i="1"/>
  <c r="L33" i="1"/>
  <c r="M33" i="1"/>
  <c r="B32" i="1"/>
  <c r="M32" i="1"/>
  <c r="L32" i="1"/>
  <c r="E32" i="1"/>
  <c r="N34" i="1" l="1"/>
  <c r="P33" i="1"/>
  <c r="N33" i="1" s="1"/>
  <c r="O35" i="1"/>
  <c r="F35" i="1"/>
  <c r="G35" i="1" s="1"/>
  <c r="O36" i="1"/>
  <c r="F34" i="1"/>
  <c r="G34" i="1" s="1"/>
  <c r="H35" i="1"/>
  <c r="I35" i="1" s="1"/>
  <c r="J35" i="1"/>
  <c r="K35" i="1" s="1"/>
  <c r="J34" i="1"/>
  <c r="K34" i="1" s="1"/>
  <c r="H36" i="1"/>
  <c r="I36" i="1" s="1"/>
  <c r="F36" i="1"/>
  <c r="G36" i="1" s="1"/>
  <c r="P32" i="1"/>
  <c r="N32" i="1" s="1"/>
  <c r="D33" i="1"/>
  <c r="D32" i="1"/>
  <c r="J32" i="1" s="1"/>
  <c r="K32" i="1" s="1"/>
  <c r="Q5" i="2"/>
  <c r="Q3" i="2"/>
  <c r="Q4" i="2"/>
  <c r="F33" i="1" l="1"/>
  <c r="G33" i="1" s="1"/>
  <c r="O33" i="1"/>
  <c r="H33" i="1"/>
  <c r="I33" i="1" s="1"/>
  <c r="J33" i="1"/>
  <c r="K33" i="1" s="1"/>
  <c r="O32" i="1"/>
  <c r="H32" i="1"/>
  <c r="I32" i="1" s="1"/>
  <c r="F32" i="1"/>
  <c r="G32" i="1" s="1"/>
  <c r="A30" i="1"/>
  <c r="B30" i="1" s="1"/>
  <c r="C30" i="1"/>
  <c r="E30" i="1"/>
  <c r="E31" i="1" s="1"/>
  <c r="L30" i="1"/>
  <c r="M30" i="1"/>
  <c r="A31" i="1"/>
  <c r="B31" i="1" s="1"/>
  <c r="C31" i="1"/>
  <c r="L31" i="1"/>
  <c r="M31" i="1"/>
  <c r="A26" i="1"/>
  <c r="B26" i="1" s="1"/>
  <c r="C26" i="1"/>
  <c r="E26" i="1"/>
  <c r="L26" i="1"/>
  <c r="M26" i="1"/>
  <c r="A27" i="1"/>
  <c r="B27" i="1" s="1"/>
  <c r="C27" i="1"/>
  <c r="E27" i="1"/>
  <c r="E28" i="1" s="1"/>
  <c r="E29" i="1" s="1"/>
  <c r="L27" i="1"/>
  <c r="M27" i="1"/>
  <c r="A28" i="1"/>
  <c r="B28" i="1" s="1"/>
  <c r="C28" i="1"/>
  <c r="L28" i="1"/>
  <c r="M28" i="1"/>
  <c r="A29" i="1"/>
  <c r="B29" i="1" s="1"/>
  <c r="C29" i="1"/>
  <c r="L29" i="1"/>
  <c r="M29" i="1"/>
  <c r="P26" i="1" l="1"/>
  <c r="N26" i="1" s="1"/>
  <c r="D28" i="1"/>
  <c r="J28" i="1" s="1"/>
  <c r="K28" i="1" s="1"/>
  <c r="D27" i="1"/>
  <c r="H27" i="1" s="1"/>
  <c r="I27" i="1" s="1"/>
  <c r="P29" i="1"/>
  <c r="N29" i="1" s="1"/>
  <c r="P27" i="1"/>
  <c r="N27" i="1" s="1"/>
  <c r="D26" i="1"/>
  <c r="H26" i="1" s="1"/>
  <c r="I26" i="1" s="1"/>
  <c r="P28" i="1"/>
  <c r="N28" i="1" s="1"/>
  <c r="D31" i="1"/>
  <c r="J31" i="1" s="1"/>
  <c r="K31" i="1" s="1"/>
  <c r="D29" i="1"/>
  <c r="J29" i="1" s="1"/>
  <c r="K29" i="1" s="1"/>
  <c r="D30" i="1"/>
  <c r="J30" i="1" s="1"/>
  <c r="K30" i="1" s="1"/>
  <c r="P30" i="1"/>
  <c r="O30" i="1" s="1"/>
  <c r="P31" i="1"/>
  <c r="A24" i="1"/>
  <c r="B24" i="1" s="1"/>
  <c r="C24" i="1"/>
  <c r="E24" i="1"/>
  <c r="L24" i="1"/>
  <c r="M24" i="1"/>
  <c r="A25" i="1"/>
  <c r="B25" i="1" s="1"/>
  <c r="C25" i="1"/>
  <c r="E25" i="1"/>
  <c r="L25" i="1"/>
  <c r="M25" i="1"/>
  <c r="O26" i="1" l="1"/>
  <c r="P24" i="1"/>
  <c r="O24" i="1" s="1"/>
  <c r="F26" i="1"/>
  <c r="G26" i="1" s="1"/>
  <c r="J27" i="1"/>
  <c r="K27" i="1" s="1"/>
  <c r="H28" i="1"/>
  <c r="I28" i="1" s="1"/>
  <c r="O29" i="1"/>
  <c r="F27" i="1"/>
  <c r="G27" i="1" s="1"/>
  <c r="O28" i="1"/>
  <c r="O27" i="1"/>
  <c r="J26" i="1"/>
  <c r="K26" i="1" s="1"/>
  <c r="D25" i="1"/>
  <c r="H25" i="1" s="1"/>
  <c r="I25" i="1" s="1"/>
  <c r="H30" i="1"/>
  <c r="I30" i="1" s="1"/>
  <c r="H29" i="1"/>
  <c r="I29" i="1" s="1"/>
  <c r="H31" i="1"/>
  <c r="I31" i="1" s="1"/>
  <c r="P25" i="1"/>
  <c r="N25" i="1" s="1"/>
  <c r="F29" i="1"/>
  <c r="G29" i="1" s="1"/>
  <c r="F28" i="1"/>
  <c r="G28" i="1" s="1"/>
  <c r="D24" i="1"/>
  <c r="N30" i="1"/>
  <c r="O31" i="1"/>
  <c r="N31" i="1"/>
  <c r="F31" i="1"/>
  <c r="G31" i="1" s="1"/>
  <c r="F30" i="1"/>
  <c r="G30" i="1" s="1"/>
  <c r="A23" i="1"/>
  <c r="B23" i="1" s="1"/>
  <c r="C23" i="1"/>
  <c r="E23" i="1"/>
  <c r="L23" i="1"/>
  <c r="M23" i="1"/>
  <c r="F24" i="1" l="1"/>
  <c r="G24" i="1" s="1"/>
  <c r="N24" i="1"/>
  <c r="D23" i="1"/>
  <c r="H23" i="1" s="1"/>
  <c r="I23" i="1" s="1"/>
  <c r="P23" i="1"/>
  <c r="N23" i="1" s="1"/>
  <c r="J25" i="1"/>
  <c r="K25" i="1" s="1"/>
  <c r="H24" i="1"/>
  <c r="I24" i="1" s="1"/>
  <c r="J24" i="1"/>
  <c r="K24" i="1" s="1"/>
  <c r="O25" i="1"/>
  <c r="F25" i="1"/>
  <c r="G25" i="1" s="1"/>
  <c r="F23" i="1" l="1"/>
  <c r="G23" i="1" s="1"/>
  <c r="J23" i="1"/>
  <c r="K23" i="1" s="1"/>
  <c r="O23" i="1"/>
  <c r="M22" i="1"/>
  <c r="L22" i="1"/>
  <c r="C22" i="1"/>
  <c r="A22" i="1"/>
  <c r="B22" i="1" s="1"/>
  <c r="M21" i="1"/>
  <c r="L21" i="1"/>
  <c r="C21" i="1"/>
  <c r="A21" i="1"/>
  <c r="B21" i="1" s="1"/>
  <c r="M20" i="1"/>
  <c r="L20" i="1"/>
  <c r="C20" i="1"/>
  <c r="A20" i="1"/>
  <c r="B20" i="1" s="1"/>
  <c r="M19" i="1"/>
  <c r="L19" i="1"/>
  <c r="C19" i="1"/>
  <c r="A19" i="1"/>
  <c r="B19" i="1" s="1"/>
  <c r="M18" i="1"/>
  <c r="L18" i="1"/>
  <c r="C18" i="1"/>
  <c r="A18" i="1"/>
  <c r="B18" i="1" s="1"/>
  <c r="M17" i="1"/>
  <c r="L17" i="1"/>
  <c r="C17" i="1"/>
  <c r="A17" i="1"/>
  <c r="B17" i="1" s="1"/>
  <c r="M16" i="1"/>
  <c r="L16" i="1"/>
  <c r="C16" i="1"/>
  <c r="A16" i="1"/>
  <c r="B16" i="1" s="1"/>
  <c r="M15" i="1"/>
  <c r="L15" i="1"/>
  <c r="C15" i="1"/>
  <c r="A15" i="1"/>
  <c r="B15" i="1" s="1"/>
  <c r="M14" i="1"/>
  <c r="L14" i="1"/>
  <c r="C14" i="1"/>
  <c r="A14" i="1"/>
  <c r="B14" i="1" s="1"/>
  <c r="M13" i="1"/>
  <c r="L13" i="1"/>
  <c r="C13" i="1"/>
  <c r="A13" i="1"/>
  <c r="B13" i="1" s="1"/>
  <c r="M12" i="1"/>
  <c r="L12" i="1"/>
  <c r="C12" i="1"/>
  <c r="A12" i="1"/>
  <c r="B12" i="1" s="1"/>
  <c r="M11" i="1"/>
  <c r="L11" i="1"/>
  <c r="C11" i="1"/>
  <c r="A11" i="1"/>
  <c r="B11" i="1" s="1"/>
  <c r="M10" i="1"/>
  <c r="L10" i="1"/>
  <c r="C10" i="1"/>
  <c r="A10" i="1"/>
  <c r="B10" i="1" s="1"/>
  <c r="M9" i="1"/>
  <c r="L9" i="1"/>
  <c r="C9" i="1"/>
  <c r="A9" i="1"/>
  <c r="B9" i="1" s="1"/>
  <c r="M8" i="1"/>
  <c r="L8" i="1"/>
  <c r="C8" i="1"/>
  <c r="A8" i="1"/>
  <c r="B8" i="1" s="1"/>
  <c r="M7" i="1"/>
  <c r="L7" i="1"/>
  <c r="C7" i="1"/>
  <c r="A7" i="1"/>
  <c r="B7" i="1" s="1"/>
  <c r="M6" i="1"/>
  <c r="L6" i="1"/>
  <c r="C6" i="1"/>
  <c r="A6" i="1"/>
  <c r="B6" i="1" s="1"/>
  <c r="M5" i="1"/>
  <c r="L5" i="1"/>
  <c r="C5" i="1"/>
  <c r="A5" i="1"/>
  <c r="B5" i="1" s="1"/>
  <c r="M4" i="1"/>
  <c r="L4" i="1"/>
  <c r="C4" i="1"/>
  <c r="A4" i="1"/>
  <c r="B4" i="1" s="1"/>
  <c r="M3" i="1"/>
  <c r="L3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C3" i="1"/>
  <c r="A3" i="1"/>
  <c r="B3" i="1" s="1"/>
  <c r="M2" i="1"/>
  <c r="L2" i="1"/>
  <c r="C2" i="1"/>
  <c r="A2" i="1"/>
  <c r="B2" i="1" s="1"/>
  <c r="P4" i="1" l="1"/>
  <c r="O4" i="1" s="1"/>
  <c r="P8" i="1"/>
  <c r="O8" i="1" s="1"/>
  <c r="P10" i="1"/>
  <c r="O10" i="1" s="1"/>
  <c r="P12" i="1"/>
  <c r="O12" i="1" s="1"/>
  <c r="P14" i="1"/>
  <c r="O14" i="1" s="1"/>
  <c r="P16" i="1"/>
  <c r="O16" i="1" s="1"/>
  <c r="P18" i="1"/>
  <c r="O18" i="1" s="1"/>
  <c r="P20" i="1"/>
  <c r="O20" i="1" s="1"/>
  <c r="P22" i="1"/>
  <c r="O22" i="1" s="1"/>
  <c r="P2" i="1"/>
  <c r="O2" i="1" s="1"/>
  <c r="P7" i="1"/>
  <c r="O7" i="1" s="1"/>
  <c r="P9" i="1"/>
  <c r="O9" i="1" s="1"/>
  <c r="P11" i="1"/>
  <c r="O11" i="1" s="1"/>
  <c r="P13" i="1"/>
  <c r="O13" i="1" s="1"/>
  <c r="P15" i="1"/>
  <c r="O15" i="1" s="1"/>
  <c r="P17" i="1"/>
  <c r="O17" i="1" s="1"/>
  <c r="P19" i="1"/>
  <c r="O19" i="1" s="1"/>
  <c r="P21" i="1"/>
  <c r="O21" i="1" s="1"/>
  <c r="D12" i="1"/>
  <c r="D20" i="1"/>
  <c r="J20" i="1" s="1"/>
  <c r="K20" i="1" s="1"/>
  <c r="D22" i="1"/>
  <c r="D4" i="1"/>
  <c r="D5" i="1"/>
  <c r="J5" i="1" s="1"/>
  <c r="K5" i="1" s="1"/>
  <c r="D7" i="1"/>
  <c r="H7" i="1" s="1"/>
  <c r="I7" i="1" s="1"/>
  <c r="D9" i="1"/>
  <c r="D11" i="1"/>
  <c r="D13" i="1"/>
  <c r="D15" i="1"/>
  <c r="H15" i="1" s="1"/>
  <c r="I15" i="1" s="1"/>
  <c r="D17" i="1"/>
  <c r="D2" i="1"/>
  <c r="H2" i="1" s="1"/>
  <c r="I2" i="1" s="1"/>
  <c r="D19" i="1"/>
  <c r="D8" i="1"/>
  <c r="D16" i="1"/>
  <c r="D21" i="1"/>
  <c r="H21" i="1" s="1"/>
  <c r="I21" i="1" s="1"/>
  <c r="D10" i="1"/>
  <c r="F10" i="1" s="1"/>
  <c r="G10" i="1" s="1"/>
  <c r="D18" i="1"/>
  <c r="D3" i="1"/>
  <c r="J3" i="1" s="1"/>
  <c r="K3" i="1" s="1"/>
  <c r="D6" i="1"/>
  <c r="H6" i="1" s="1"/>
  <c r="I6" i="1" s="1"/>
  <c r="D14" i="1"/>
  <c r="P5" i="1"/>
  <c r="O5" i="1" s="1"/>
  <c r="P3" i="1"/>
  <c r="O3" i="1" s="1"/>
  <c r="P6" i="1"/>
  <c r="O6" i="1" s="1"/>
  <c r="N8" i="1" l="1"/>
  <c r="F14" i="1"/>
  <c r="G14" i="1" s="1"/>
  <c r="N14" i="1"/>
  <c r="N4" i="1"/>
  <c r="F12" i="1"/>
  <c r="G12" i="1" s="1"/>
  <c r="F8" i="1"/>
  <c r="G8" i="1" s="1"/>
  <c r="N12" i="1"/>
  <c r="F4" i="1"/>
  <c r="G4" i="1" s="1"/>
  <c r="N10" i="1"/>
  <c r="N22" i="1"/>
  <c r="F22" i="1"/>
  <c r="G22" i="1" s="1"/>
  <c r="N18" i="1"/>
  <c r="F18" i="1"/>
  <c r="G18" i="1" s="1"/>
  <c r="N20" i="1"/>
  <c r="N16" i="1"/>
  <c r="F16" i="1"/>
  <c r="G16" i="1" s="1"/>
  <c r="H22" i="1"/>
  <c r="I22" i="1" s="1"/>
  <c r="J22" i="1"/>
  <c r="K22" i="1" s="1"/>
  <c r="J7" i="1"/>
  <c r="K7" i="1" s="1"/>
  <c r="F19" i="1"/>
  <c r="G19" i="1" s="1"/>
  <c r="N21" i="1"/>
  <c r="N17" i="1"/>
  <c r="F20" i="1"/>
  <c r="G20" i="1" s="1"/>
  <c r="F17" i="1"/>
  <c r="G17" i="1" s="1"/>
  <c r="H20" i="1"/>
  <c r="I20" i="1" s="1"/>
  <c r="F9" i="1"/>
  <c r="G9" i="1" s="1"/>
  <c r="H3" i="1"/>
  <c r="I3" i="1" s="1"/>
  <c r="N9" i="1"/>
  <c r="N19" i="1"/>
  <c r="J17" i="1"/>
  <c r="K17" i="1" s="1"/>
  <c r="J12" i="1"/>
  <c r="K12" i="1" s="1"/>
  <c r="N5" i="1"/>
  <c r="N2" i="1"/>
  <c r="F15" i="1"/>
  <c r="G15" i="1" s="1"/>
  <c r="J21" i="1"/>
  <c r="K21" i="1" s="1"/>
  <c r="F13" i="1"/>
  <c r="G13" i="1" s="1"/>
  <c r="N15" i="1"/>
  <c r="H12" i="1"/>
  <c r="I12" i="1" s="1"/>
  <c r="N13" i="1"/>
  <c r="N11" i="1"/>
  <c r="F11" i="1"/>
  <c r="G11" i="1" s="1"/>
  <c r="F7" i="1"/>
  <c r="G7" i="1" s="1"/>
  <c r="J8" i="1"/>
  <c r="K8" i="1" s="1"/>
  <c r="N7" i="1"/>
  <c r="F21" i="1"/>
  <c r="G21" i="1" s="1"/>
  <c r="H8" i="1"/>
  <c r="I8" i="1" s="1"/>
  <c r="J13" i="1"/>
  <c r="K13" i="1" s="1"/>
  <c r="J2" i="1"/>
  <c r="K2" i="1" s="1"/>
  <c r="H9" i="1"/>
  <c r="I9" i="1" s="1"/>
  <c r="J15" i="1"/>
  <c r="K15" i="1" s="1"/>
  <c r="H4" i="1"/>
  <c r="I4" i="1" s="1"/>
  <c r="H17" i="1"/>
  <c r="I17" i="1" s="1"/>
  <c r="F2" i="1"/>
  <c r="G2" i="1" s="1"/>
  <c r="F5" i="1"/>
  <c r="G5" i="1" s="1"/>
  <c r="H16" i="1"/>
  <c r="I16" i="1" s="1"/>
  <c r="J4" i="1"/>
  <c r="K4" i="1" s="1"/>
  <c r="H14" i="1"/>
  <c r="I14" i="1" s="1"/>
  <c r="H13" i="1"/>
  <c r="I13" i="1" s="1"/>
  <c r="H5" i="1"/>
  <c r="I5" i="1" s="1"/>
  <c r="J10" i="1"/>
  <c r="K10" i="1" s="1"/>
  <c r="H11" i="1"/>
  <c r="I11" i="1" s="1"/>
  <c r="J19" i="1"/>
  <c r="K19" i="1" s="1"/>
  <c r="H19" i="1"/>
  <c r="I19" i="1" s="1"/>
  <c r="H10" i="1"/>
  <c r="I10" i="1" s="1"/>
  <c r="J9" i="1"/>
  <c r="K9" i="1" s="1"/>
  <c r="J11" i="1"/>
  <c r="K11" i="1" s="1"/>
  <c r="F6" i="1"/>
  <c r="G6" i="1" s="1"/>
  <c r="J16" i="1"/>
  <c r="K16" i="1" s="1"/>
  <c r="F3" i="1"/>
  <c r="G3" i="1" s="1"/>
  <c r="H18" i="1"/>
  <c r="I18" i="1" s="1"/>
  <c r="J14" i="1"/>
  <c r="K14" i="1" s="1"/>
  <c r="J18" i="1"/>
  <c r="K18" i="1" s="1"/>
  <c r="N3" i="1"/>
  <c r="N6" i="1"/>
  <c r="J6" i="1"/>
  <c r="K6" i="1" s="1"/>
</calcChain>
</file>

<file path=xl/connections.xml><?xml version="1.0" encoding="utf-8"?>
<connections xmlns="http://schemas.openxmlformats.org/spreadsheetml/2006/main">
  <connection id="1" keepAlive="1" name="คิวรี - Condensate" description="การเชื่อมต่อกับแบบสอบถาม 'Condensate' ในสมุดงาน" type="5" refreshedVersion="0" background="1" saveData="1">
    <dbPr connection="Provider=Microsoft.Mashup.OleDb.1;Data Source=$Workbook$;Location=Condensate" command="SELECT * FROM [Condensate]"/>
  </connection>
</connections>
</file>

<file path=xl/sharedStrings.xml><?xml version="1.0" encoding="utf-8"?>
<sst xmlns="http://schemas.openxmlformats.org/spreadsheetml/2006/main" count="186" uniqueCount="159">
  <si>
    <t>วันที่</t>
  </si>
  <si>
    <t>Soft Mark Up</t>
  </si>
  <si>
    <t>มิเตอร์น้ำ Boiler</t>
  </si>
  <si>
    <t>น้ำ CONDENSATE กลับ</t>
  </si>
  <si>
    <t>Target</t>
  </si>
  <si>
    <t xml:space="preserve">%  condensate </t>
  </si>
  <si>
    <t>%DIFF</t>
  </si>
  <si>
    <t>CON Return bhs</t>
  </si>
  <si>
    <t>condensate bhs%</t>
  </si>
  <si>
    <t>CON Return yueli</t>
  </si>
  <si>
    <t>condensate yueli%</t>
  </si>
  <si>
    <t>ยอดการใช้ Steam BHS</t>
  </si>
  <si>
    <t>ยอดการใช้ Steam YUELI</t>
  </si>
  <si>
    <t>ยอดการใช้ Steam BHS%</t>
  </si>
  <si>
    <t>ยอดการใช้ Steam YUELI%</t>
  </si>
  <si>
    <t>รวมยอดใช้สตีม</t>
  </si>
  <si>
    <t>ป้ายชื่อแถว</t>
  </si>
  <si>
    <t>ผลรวมทั้งหมด</t>
  </si>
  <si>
    <t xml:space="preserve"> รวมยอดใช้สตีม</t>
  </si>
  <si>
    <t xml:space="preserve"> CON Return bhs</t>
  </si>
  <si>
    <t xml:space="preserve">  CON Return yueli</t>
  </si>
  <si>
    <t xml:space="preserve"> %  condensate </t>
  </si>
  <si>
    <t xml:space="preserve"> Soft Mark Up</t>
  </si>
  <si>
    <t xml:space="preserve"> มิเตอร์น้ำ Boiler</t>
  </si>
  <si>
    <t xml:space="preserve"> น้ำ CONDENSATE กลับ</t>
  </si>
  <si>
    <t xml:space="preserve"> Target</t>
  </si>
  <si>
    <t xml:space="preserve"> %DIFF</t>
  </si>
  <si>
    <t>ค่าเฉลี่ย ของ %DIFF</t>
  </si>
  <si>
    <r>
      <t xml:space="preserve">ถ้าผลตรวจปล่องควัน </t>
    </r>
    <r>
      <rPr>
        <b/>
        <sz val="11"/>
        <color theme="1"/>
        <rFont val="Tahoma"/>
        <family val="2"/>
        <charset val="222"/>
        <scheme val="minor"/>
      </rPr>
      <t>“ติดค่า (เกินมาตรฐาน)” ของคาร์บอนมอนอกไซด์ (CO)</t>
    </r>
    <r>
      <rPr>
        <sz val="11"/>
        <color theme="1"/>
        <rFont val="Tahoma"/>
        <family val="2"/>
        <charset val="222"/>
        <scheme val="minor"/>
      </rPr>
      <t xml:space="preserve"> — คำตอบคือ </t>
    </r>
    <r>
      <rPr>
        <b/>
        <sz val="11"/>
        <color theme="1"/>
        <rFont val="Tahoma"/>
        <family val="2"/>
        <charset val="222"/>
        <scheme val="minor"/>
      </rPr>
      <t>“ควรตรวจเพิ่มและหาสาเหตุทันที”</t>
    </r>
    <r>
      <rPr>
        <sz val="11"/>
        <color theme="1"/>
        <rFont val="Tahoma"/>
        <family val="2"/>
        <charset val="222"/>
        <scheme val="minor"/>
      </rPr>
      <t xml:space="preserve"> ครับ</t>
    </r>
  </si>
  <si>
    <t>สรุปแนวทางตามหลักสิ่งแวดล้อมและกฎหมาย (เช่น ตามประกาศกรมโรงงานอุตสาหกรรม / กรมควบคุมมลพิษ):</t>
  </si>
  <si>
    <t>🔍 1. ตรวจสอบเบื้องต้น</t>
  </si>
  <si>
    <r>
      <t>ยืนยันผลตรวจ</t>
    </r>
    <r>
      <rPr>
        <sz val="11"/>
        <color theme="1"/>
        <rFont val="Tahoma"/>
        <family val="2"/>
        <charset val="222"/>
        <scheme val="minor"/>
      </rPr>
      <t xml:space="preserve"> – ตรวจซ้ำอีกครั้งภายในระยะเวลาสั้น (เช่น 7–14 วัน) เพื่อดูว่าเกินจริงหรือเป็นความคลาดเคลื่อนจากเครื่องวัด</t>
    </r>
  </si>
  <si>
    <r>
      <t>ตรวจสอบเครื่องวัด</t>
    </r>
    <r>
      <rPr>
        <sz val="11"/>
        <color theme="1"/>
        <rFont val="Tahoma"/>
        <family val="2"/>
        <charset val="222"/>
        <scheme val="minor"/>
      </rPr>
      <t xml:space="preserve"> – ตรวจสอบการสอบเทียบ (calibration) ของเครื่องวัดปล่องควันว่าถูกต้องไหม</t>
    </r>
  </si>
  <si>
    <r>
      <t>ตรวจภาวะขณะวัด</t>
    </r>
    <r>
      <rPr>
        <sz val="11"/>
        <color theme="1"/>
        <rFont val="Tahoma"/>
        <family val="2"/>
        <charset val="222"/>
        <scheme val="minor"/>
      </rPr>
      <t xml:space="preserve"> – เช่น อุณหภูมิเตา, ความชื้น, ปริมาณออกซิเจน, เชื้อเพลิงที่ใช้ มีผลต่อค่า CO</t>
    </r>
  </si>
  <si>
    <t>⚙️ 2. ตรวจหาสาเหตุ</t>
  </si>
  <si>
    <t>คาร์บอนมอนอกไซด์สูง มักเกิดจาก “การเผาไหม้ไม่สมบูรณ์” เช่น</t>
  </si>
  <si>
    <t>หัวพ่นเชื้อเพลิง (burner) สกปรกหรืออุดตัน</t>
  </si>
  <si>
    <t>ระบบอากาศเข้าไม่พอ</t>
  </si>
  <si>
    <t>ใช้เชื้อเพลิงผิดประเภท / คุณภาพต่ำ</t>
  </si>
  <si>
    <t>อุณหภูมิการเผาไหม้ไม่ถึงจุดที่เหมาะสม</t>
  </si>
  <si>
    <t>ควรให้ฝ่ายช่างตรวจและบันทึกผลปรับปรุงไว้ด้วย</t>
  </si>
  <si>
    <t>📅 3. ตรวจยืนยันหลังปรับปรุง</t>
  </si>
  <si>
    <r>
      <t xml:space="preserve">หลังจากปรับปรุงระบบแล้ว ต้อง </t>
    </r>
    <r>
      <rPr>
        <b/>
        <sz val="11"/>
        <color theme="1"/>
        <rFont val="Tahoma"/>
        <family val="2"/>
        <charset val="222"/>
        <scheme val="minor"/>
      </rPr>
      <t>ตรวจวัดปล่องควันอีกครั้ง</t>
    </r>
    <r>
      <rPr>
        <sz val="11"/>
        <color theme="1"/>
        <rFont val="Tahoma"/>
        <family val="2"/>
        <charset val="222"/>
        <scheme val="minor"/>
      </rPr>
      <t xml:space="preserve"> เพื่อยืนยันว่าค่ากลับมาอยู่ในเกณฑ์มาตรฐาน</t>
    </r>
  </si>
  <si>
    <t>หากยังเกินซ้ำ อาจต้องรายงานต่อหน่วยงานควบคุม (เช่น กรมโรงงานฯ หรือ อบต./เทศบาล ตามพื้นที่)</t>
  </si>
  <si>
    <t>🧾 4. เอกสารที่ควรจัดเก็บ</t>
  </si>
  <si>
    <t>ใบรายงานผลตรวจเดิม</t>
  </si>
  <si>
    <t>บันทึกการแก้ไข / ซ่อมบำรุง</t>
  </si>
  <si>
    <t>ผลตรวจซ้ำยืนยัน</t>
  </si>
  <si>
    <t>หนังสือรายงานต่อหน่วยงาน (ถ้ามี)</t>
  </si>
  <si>
    <t>หากคุณมี “ผลตรวจจริง” (เช่น ระบุค่า CO mg/Nm³ และมาตรฐานกำหนดไว้เท่าไร) ผมสามารถช่วยดูได้ว่าต้องทำการตรวจเพิ่มทันทีหรือสามารถรอรอบถัดไปได้ครับ</t>
  </si>
  <si>
    <t>อยากให้ผมช่วยดูผลตรวจนั้นไหมครับ? (สามารถแนบรูปหรือพิมพ์ค่ามาได้เลย)</t>
  </si>
  <si>
    <r>
      <t xml:space="preserve">ขอบคุณครับ — ได้ข้อมูลว่า </t>
    </r>
    <r>
      <rPr>
        <b/>
        <sz val="11"/>
        <color theme="1"/>
        <rFont val="Tahoma"/>
        <family val="2"/>
        <charset val="222"/>
        <scheme val="minor"/>
      </rPr>
      <t>เป็นเตา boiler ใช้ถ่านหิน</t>
    </r>
    <r>
      <rPr>
        <sz val="11"/>
        <color theme="1"/>
        <rFont val="Tahoma"/>
        <family val="2"/>
        <charset val="222"/>
        <scheme val="minor"/>
      </rPr>
      <t xml:space="preserve"> — นี่คือคำแนะนำเชิงปฏิบัติทันทีและรายการตรวจเช็คที่ควรทำตอนนี้เพื่อแก้ปัญหา CO สูง (2,672 ppm) และป้องกันซ้ำครับ</t>
    </r>
  </si>
  <si>
    <t>สรุปปัญหาเชิงสั้น</t>
  </si>
  <si>
    <r>
      <t xml:space="preserve">CO สูงมาก → แปลว่า </t>
    </r>
    <r>
      <rPr>
        <b/>
        <sz val="11"/>
        <color theme="1"/>
        <rFont val="Tahoma"/>
        <family val="2"/>
        <charset val="222"/>
        <scheme val="minor"/>
      </rPr>
      <t>การเผาไหม้ไม่สมบูรณ์</t>
    </r>
  </si>
  <si>
    <t>O₂ ในปล่อง = 17.31% → มีอากาศเกินมาก แต่การเผาไหม้ยังไม่สมบูรณ์ (อาจเกิดจากการกระจายอากาศไม่ดี, ปลายการเผาไหม้ไม่ทั่วถึง หรือเชื้อเพลิงผิดสเปค)</t>
  </si>
  <si>
    <t>ทำอะไร ตอนนี้ — ขั้นตอนด่วน (ทำเลย)</t>
  </si>
  <si>
    <r>
      <t>1. หยุด/ลดภาระหากเห็นว่ามีความเสี่ยงต่อความปลอดภัย</t>
    </r>
    <r>
      <rPr>
        <sz val="11"/>
        <color theme="1"/>
        <rFont val="Tahoma"/>
        <family val="2"/>
        <charset val="222"/>
        <scheme val="minor"/>
      </rPr>
      <t xml:space="preserve"> — ถ้ามีกลิ่นควันหรือคนรู้สึกเวียนศีรษะ ให้ย้ายคนออกและระบายอากาศ</t>
    </r>
  </si>
  <si>
    <r>
      <t>2. ตรวจสอบอุปกรณ์วัด</t>
    </r>
    <r>
      <rPr>
        <sz val="11"/>
        <color theme="1"/>
        <rFont val="Tahoma"/>
        <family val="2"/>
        <charset val="222"/>
        <scheme val="minor"/>
      </rPr>
      <t xml:space="preserve"> — ตรวจสอบการสอบเทียบ (calibration) ของเครื่องวัด CO และ O₂ ว่ายังถูกต้องหรือไม่ ก่อนเชื่อผล</t>
    </r>
  </si>
  <si>
    <r>
      <t>3. เก็บค่าพื้นฐานทันที</t>
    </r>
    <r>
      <rPr>
        <sz val="11"/>
        <color theme="1"/>
        <rFont val="Tahoma"/>
        <family val="2"/>
        <charset val="222"/>
        <scheme val="minor"/>
      </rPr>
      <t xml:space="preserve"> ที่ปล่องขณะสถานะการทำงานปกติ:</t>
    </r>
  </si>
  <si>
    <t>CO (ppm), O₂ (%), CO₂ (%), อุณหภูมิปล่อง (°C), ความเร็วลม/flow, แรงดันดราฟท์ (draft), อัตราการให้เชื้อเพลิง (ton/hr), ความชื้นและขนาดถ่าน</t>
  </si>
  <si>
    <r>
      <t>4. ตรวจสภาพเชื้อเพลิง</t>
    </r>
    <r>
      <rPr>
        <sz val="11"/>
        <color theme="1"/>
        <rFont val="Tahoma"/>
        <family val="2"/>
        <charset val="222"/>
        <scheme val="minor"/>
      </rPr>
      <t xml:space="preserve"> — ดูความชื้น, ขนาด/เกรดถ่านหิน, มีสิ่งปนเปื้อนหรือไม่ (เช่น เถ้าหนัก/หิน)</t>
    </r>
  </si>
  <si>
    <t>5. ตรวจหัวพ่น/เตา/โซนการเผา</t>
  </si>
  <si>
    <t>ทำความสะอาดหัวพ่นหรือช่องลมที่อุดตัน</t>
  </si>
  <si>
    <t>ตรวจสภาพกริด/รางถ่าน (grate) — มีการอุดตันหรือเกิด clinker หรือไม่</t>
  </si>
  <si>
    <t>6. ตรวจระบบอากาศ (Primary/Secondary air)</t>
  </si>
  <si>
    <t>ดูการกระจายอากาศว่าถึงทุกโซนไหม (air imbalance ทำให้บางส่วนเผาไหม้ไม่สมบูรณ์)</t>
  </si>
  <si>
    <t>ปรับปริมาณอากาศ/ตำแหน่งลม ถ้า O₂ สูงมากให้ลดอากาศบางส่วนแต่ต้องสังเกต CO ทันที</t>
  </si>
  <si>
    <r>
      <t>7. ตรวจพัดลมและดราฟท์</t>
    </r>
    <r>
      <rPr>
        <sz val="11"/>
        <color theme="1"/>
        <rFont val="Tahoma"/>
        <family val="2"/>
        <charset val="222"/>
        <scheme val="minor"/>
      </rPr>
      <t xml:space="preserve"> — ตรวจ RPM/การทำงานของ ID/FD/AF fans ว่าเป็นไปตามค่าที่ตั้งไว้</t>
    </r>
  </si>
  <si>
    <r>
      <t>8. ตรวจสภาพผนังเตาและฉนวน/refractory</t>
    </r>
    <r>
      <rPr>
        <sz val="11"/>
        <color theme="1"/>
        <rFont val="Tahoma"/>
        <family val="2"/>
        <charset val="222"/>
        <scheme val="minor"/>
      </rPr>
      <t xml:space="preserve"> — รอยรั่วอากาศแทรก (air ingress) ทำให้เผาไหม้ผิดเพี้ยนได้</t>
    </r>
  </si>
  <si>
    <r>
      <t>9. บันทึกการแก้ไขทั้งหมดเป็นลำดับเวลา</t>
    </r>
    <r>
      <rPr>
        <sz val="11"/>
        <color theme="1"/>
        <rFont val="Tahoma"/>
        <family val="2"/>
        <charset val="222"/>
        <scheme val="minor"/>
      </rPr>
      <t xml:space="preserve"> (ใครทำอะไร เปลี่ยนค่าอะไร) เพื่อใช้เปรียบเทียบผลทดสอบถัดไป</t>
    </r>
  </si>
  <si>
    <t>หลังจากแก้ไข — วัดซ้ำทันที</t>
  </si>
  <si>
    <r>
      <t xml:space="preserve">ทำการ </t>
    </r>
    <r>
      <rPr>
        <b/>
        <sz val="11"/>
        <color theme="1"/>
        <rFont val="Tahoma"/>
        <family val="2"/>
        <charset val="222"/>
        <scheme val="minor"/>
      </rPr>
      <t>วัดค่าปล่องใหม่ทันทีหลังการปรับ/ซ่อม</t>
    </r>
    <r>
      <rPr>
        <sz val="11"/>
        <color theme="1"/>
        <rFont val="Tahoma"/>
        <family val="2"/>
        <charset val="222"/>
        <scheme val="minor"/>
      </rPr>
      <t xml:space="preserve"> (อย่าพึ่งรอ) และบันทึกค่าทุกตัวเพื่อเปรียบเทียบ</t>
    </r>
  </si>
  <si>
    <t>ถ้า CO ลดลงมาอยู่ใต้ค่ามาตรฐาน (หรือใกล้เคียง) ถือว่าการแก้ไขได้ผล — ถ้ายังสูง ให้ทำการตรวจลึกขึ้นหรือติดต่อผู้เชี่ยวชาญระบบเชื้อเพลิง/boiler</t>
  </si>
  <si>
    <t>ค่ามาตรฐานเชิงปฏิบัติที่ควรตั้งเป้า (เพื่อเป็นแนวทาง)</t>
  </si>
  <si>
    <r>
      <t xml:space="preserve">CO ควรต่ำกว่าเกณฑ์อนุญาต (ในรายงานคุณคือ 690 ppm) — ควรพยายามให้ </t>
    </r>
    <r>
      <rPr>
        <b/>
        <sz val="11"/>
        <color theme="1"/>
        <rFont val="Tahoma"/>
        <family val="2"/>
        <charset val="222"/>
        <scheme val="minor"/>
      </rPr>
      <t>ต่ำกว่าค่ากฎหมายและใกล้ศูนย์ให้มากที่สุด</t>
    </r>
  </si>
  <si>
    <r>
      <t xml:space="preserve">O₂ ในปล่องสำหรับ boiler ถ่านหินมักจะอยู่ในช่วงต่างกันตามการออกแบบ — จุดสำคัญคือ </t>
    </r>
    <r>
      <rPr>
        <b/>
        <sz val="11"/>
        <color theme="1"/>
        <rFont val="Tahoma"/>
        <family val="2"/>
        <charset val="222"/>
        <scheme val="minor"/>
      </rPr>
      <t>การปรับ O₂ ให้สมดุลกับ CO</t>
    </r>
    <r>
      <rPr>
        <sz val="11"/>
        <color theme="1"/>
        <rFont val="Tahoma"/>
        <family val="2"/>
        <charset val="222"/>
        <scheme val="minor"/>
      </rPr>
      <t xml:space="preserve"> (O₂ สูงแต่ CO สูง = การกระจายลม/สภาพการเผาไหม้ผิด)</t>
    </r>
  </si>
  <si>
    <t>ต่อไปถ้าต้องการผมช่วยทำให้</t>
  </si>
  <si>
    <r>
      <t xml:space="preserve">ผมช่วย </t>
    </r>
    <r>
      <rPr>
        <b/>
        <sz val="11"/>
        <color theme="1"/>
        <rFont val="Tahoma"/>
        <family val="2"/>
        <charset val="222"/>
        <scheme val="minor"/>
      </rPr>
      <t>จัด checklist แบบเป็นตาราง</t>
    </r>
    <r>
      <rPr>
        <sz val="11"/>
        <color theme="1"/>
        <rFont val="Tahoma"/>
        <family val="2"/>
        <charset val="222"/>
        <scheme val="minor"/>
      </rPr>
      <t xml:space="preserve"> ให้ทีมช่างใช้เช็คลิสต์ระบุค่า (CO, O₂, temp, draft, fuel rate, moisture, action taken) ได้เลย</t>
    </r>
  </si>
  <si>
    <t>หรือคุณส่งค่าใหม่หลังการปรับ (ผลวัดล่าสุด) มา — ผมช่วยวิเคราะห์เปรียบเทียบและแนะนำค่าเป้าหมายการตั้งพัดลม/air-fuel ให้ละเอียดขึ้น</t>
  </si>
  <si>
    <r>
      <t xml:space="preserve">อยากให้ผม </t>
    </r>
    <r>
      <rPr>
        <b/>
        <sz val="11"/>
        <color theme="1"/>
        <rFont val="Tahoma"/>
        <family val="2"/>
        <charset val="222"/>
        <scheme val="minor"/>
      </rPr>
      <t>จัด checklist</t>
    </r>
    <r>
      <rPr>
        <sz val="11"/>
        <color theme="1"/>
        <rFont val="Tahoma"/>
        <family val="2"/>
        <charset val="222"/>
        <scheme val="minor"/>
      </rPr>
      <t xml:space="preserve"> ให้ทันทีหรือจะส่งผลวัดหลังปรับมาให้วิเคราะห์ต่อ?</t>
    </r>
  </si>
  <si>
    <r>
      <t xml:space="preserve">ก๊าซ </t>
    </r>
    <r>
      <rPr>
        <b/>
        <sz val="11"/>
        <color theme="1"/>
        <rFont val="Tahoma"/>
        <family val="2"/>
        <charset val="222"/>
        <scheme val="minor"/>
      </rPr>
      <t>Carbon monoxide (CO)</t>
    </r>
    <r>
      <rPr>
        <sz val="11"/>
        <color theme="1"/>
        <rFont val="Tahoma"/>
        <family val="2"/>
        <charset val="222"/>
        <scheme val="minor"/>
      </rPr>
      <t xml:space="preserve"> หรือที่วัดเป็นหน่วย </t>
    </r>
    <r>
      <rPr>
        <b/>
        <sz val="11"/>
        <color theme="1"/>
        <rFont val="Tahoma"/>
        <family val="2"/>
        <charset val="222"/>
        <scheme val="minor"/>
      </rPr>
      <t>ppm (parts per million)</t>
    </r>
    <r>
      <rPr>
        <sz val="11"/>
        <color theme="1"/>
        <rFont val="Tahoma"/>
        <family val="2"/>
        <charset val="222"/>
        <scheme val="minor"/>
      </rPr>
      <t xml:space="preserve"> เป็นสารเคมีที่จัดอยู่ในกลุ่ม</t>
    </r>
  </si>
  <si>
    <r>
      <t xml:space="preserve">⚠️ </t>
    </r>
    <r>
      <rPr>
        <b/>
        <sz val="11"/>
        <color theme="1"/>
        <rFont val="Tahoma"/>
        <family val="2"/>
        <charset val="222"/>
        <scheme val="minor"/>
      </rPr>
      <t>“สารพิษต่อระบบทางเดินหายใจและระบบเลือด” (Toxic gas)</t>
    </r>
  </si>
  <si>
    <t>🔹 ประเภทของผลกระทบ</t>
  </si>
  <si>
    <t>1. เป็นพิษเฉียบพลัน (Acute toxicity)</t>
  </si>
  <si>
    <r>
      <t xml:space="preserve">เมื่อสูดดมเข้าไป CO จะเข้าไปจับกับ </t>
    </r>
    <r>
      <rPr>
        <b/>
        <sz val="11"/>
        <color theme="1"/>
        <rFont val="Tahoma"/>
        <family val="2"/>
        <charset val="222"/>
        <scheme val="minor"/>
      </rPr>
      <t>ฮีโมโกลบิน (Hemoglobin)</t>
    </r>
    <r>
      <rPr>
        <sz val="11"/>
        <color theme="1"/>
        <rFont val="Tahoma"/>
        <family val="2"/>
        <charset val="222"/>
        <scheme val="minor"/>
      </rPr>
      <t xml:space="preserve"> ในเม็ดเลือดแดง ได้เป็น </t>
    </r>
    <r>
      <rPr>
        <b/>
        <sz val="11"/>
        <color theme="1"/>
        <rFont val="Tahoma"/>
        <family val="2"/>
        <charset val="222"/>
        <scheme val="minor"/>
      </rPr>
      <t>คาร์บอกซีฮีโมโกลบิน (Carboxyhemoglobin)</t>
    </r>
  </si>
  <si>
    <t>ส่งผลให้เลือดขนส่งออกซิเจนได้น้อยลง → ร่างกายขาดออกซิเจน</t>
  </si>
  <si>
    <t>🔹 อาการเมื่อได้รับ CO</t>
  </si>
  <si>
    <t>ความเข้มข้น (ppm)</t>
  </si>
  <si>
    <t>ผลกระทบต่อสุขภาพ</t>
  </si>
  <si>
    <t>50 ppm</t>
  </si>
  <si>
    <t>เริ่มมีอาการมึนงง ปวดหัวเล็กน้อย (เกินค่ามาตรฐานอุตสาหกรรม)</t>
  </si>
  <si>
    <t>200 ppm</t>
  </si>
  <si>
    <t>ปวดหัว เวียนหัว เหนื่อยง่าย ภายในไม่กี่ชั่วโมง</t>
  </si>
  <si>
    <t>400–800 ppm</t>
  </si>
  <si>
    <t>คลื่นไส้ สับสน หมดสติ</t>
  </si>
  <si>
    <t>&gt;1600 ppm</t>
  </si>
  <si>
    <t>หมดสติและเสียชีวิตได้ในเวลาไม่กี่นาที</t>
  </si>
  <si>
    <t>🔹 สรุปการจำแนก</t>
  </si>
  <si>
    <r>
      <t xml:space="preserve">ประเภท: </t>
    </r>
    <r>
      <rPr>
        <b/>
        <sz val="11"/>
        <color theme="1"/>
        <rFont val="Tahoma"/>
        <family val="2"/>
        <charset val="222"/>
        <scheme val="minor"/>
      </rPr>
      <t>สารเคมีอันตรายต่อสุขภาพ (Health hazard)</t>
    </r>
  </si>
  <si>
    <r>
      <t xml:space="preserve">ลักษณะ: </t>
    </r>
    <r>
      <rPr>
        <b/>
        <sz val="11"/>
        <color theme="1"/>
        <rFont val="Tahoma"/>
        <family val="2"/>
        <charset val="222"/>
        <scheme val="minor"/>
      </rPr>
      <t>ก๊าซพิษ ไม่มีสี ไม่มีกลิ่น</t>
    </r>
  </si>
  <si>
    <t>กลุ่มอันตรายตาม GHS (Globally Harmonized System):</t>
  </si>
  <si>
    <t>Acute Toxicity (Inhalation) Category 3</t>
  </si>
  <si>
    <t>Specific Target Organ Toxicity (Single Exposure) Category 1</t>
  </si>
  <si>
    <r>
      <t xml:space="preserve">หากคุณต้องใช้ใน </t>
    </r>
    <r>
      <rPr>
        <b/>
        <sz val="11"/>
        <color theme="1"/>
        <rFont val="Tahoma"/>
        <family val="2"/>
        <charset val="222"/>
        <scheme val="minor"/>
      </rPr>
      <t>เตา Boiler ที่ใช้ถ่านหิน</t>
    </r>
    <r>
      <rPr>
        <sz val="11"/>
        <color theme="1"/>
        <rFont val="Tahoma"/>
        <family val="2"/>
        <charset val="222"/>
        <scheme val="minor"/>
      </rPr>
      <t xml:space="preserve"> — ค่า CO ที่สูงแสดงว่า </t>
    </r>
    <r>
      <rPr>
        <b/>
        <sz val="11"/>
        <color theme="1"/>
        <rFont val="Tahoma"/>
        <family val="2"/>
        <charset val="222"/>
        <scheme val="minor"/>
      </rPr>
      <t>การเผาไหม้ไม่สมบูรณ์</t>
    </r>
    <r>
      <rPr>
        <sz val="11"/>
        <color theme="1"/>
        <rFont val="Tahoma"/>
        <family val="2"/>
        <charset val="222"/>
        <scheme val="minor"/>
      </rPr>
      <t xml:space="preserve"> ควรตรวจสอบระบบอากาศหรือการปรับอัตราอากาศ-เชื้อเพลิงครับ ✅</t>
    </r>
  </si>
  <si>
    <t>วัน</t>
  </si>
  <si>
    <t>เดือน</t>
  </si>
  <si>
    <t>ปี</t>
  </si>
  <si>
    <t>y</t>
  </si>
  <si>
    <t>x</t>
  </si>
  <si>
    <t>x = 602 * (20.9 – 7) / (20.9 – 13.9)</t>
  </si>
  <si>
    <t>x ≈ 2167.82</t>
  </si>
  <si>
    <t>✅ 1) สูตรหา x จาก y และ O₂%</t>
  </si>
  <si>
    <t>x = y × (20.9 – 7) / (20.9 – O₂%)</t>
  </si>
  <si>
    <t>ใน Excel:</t>
  </si>
  <si>
    <t>โดยให้</t>
  </si>
  <si>
    <t>A20 = y (ค่าที่วัดจริง)</t>
  </si>
  <si>
    <t>B20 = O₂%</t>
  </si>
  <si>
    <t>✅ 2) สูตรหา y จาก x และ O₂%</t>
  </si>
  <si>
    <t>y = x × (20.9 – O₂%) / (20.9 – 7)</t>
  </si>
  <si>
    <t>A20 = x (ค่าที่ปรับมาตรฐานแล้ว)</t>
  </si>
  <si>
    <t>📌 ถ้าต้องการ ผมสามารถจัดตำแหน่งเซลล์ให้แบบนี้:</t>
  </si>
  <si>
    <t>A20 = y</t>
  </si>
  <si>
    <t>C20 = x</t>
  </si>
  <si>
    <t>หรือรูปแบบที่คุณต้องการ</t>
  </si>
  <si>
    <r>
      <t>บอกผมว่าอยากวางแบบไหน เดี๋ยวผมจัดให้พร้อมสูตรแบบสมบูรณ์</t>
    </r>
    <r>
      <rPr>
        <sz val="11"/>
        <color theme="1"/>
        <rFont val="Tahoma"/>
        <family val="2"/>
        <charset val="222"/>
        <scheme val="minor"/>
      </rPr>
      <t xml:space="preserve"> 👍</t>
    </r>
  </si>
  <si>
    <t>O₂%</t>
  </si>
  <si>
    <r>
      <t xml:space="preserve">จากรูปเป็น </t>
    </r>
    <r>
      <rPr>
        <b/>
        <sz val="11"/>
        <color theme="1"/>
        <rFont val="Tahoma"/>
        <family val="2"/>
        <charset val="222"/>
        <scheme val="minor"/>
      </rPr>
      <t>สูตรคำนวณการปรับค่าตามปริมาณออกซิเจน (O₂ Correction)</t>
    </r>
  </si>
  <si>
    <r>
      <t xml:space="preserve">ใช้บ่อยในงาน </t>
    </r>
    <r>
      <rPr>
        <b/>
        <sz val="11"/>
        <color theme="1"/>
        <rFont val="Tahoma"/>
        <family val="2"/>
        <charset val="222"/>
        <scheme val="minor"/>
      </rPr>
      <t>ปล่องควัน/มลพิษทางอากาศ</t>
    </r>
    <r>
      <rPr>
        <sz val="11"/>
        <color theme="1"/>
        <rFont val="Tahoma"/>
        <family val="2"/>
        <charset val="222"/>
        <scheme val="minor"/>
      </rPr>
      <t xml:space="preserve">, </t>
    </r>
    <r>
      <rPr>
        <b/>
        <sz val="11"/>
        <color theme="1"/>
        <rFont val="Tahoma"/>
        <family val="2"/>
        <charset val="222"/>
        <scheme val="minor"/>
      </rPr>
      <t>Boiler</t>
    </r>
    <r>
      <rPr>
        <sz val="11"/>
        <color theme="1"/>
        <rFont val="Tahoma"/>
        <family val="2"/>
        <charset val="222"/>
        <scheme val="minor"/>
      </rPr>
      <t xml:space="preserve">, </t>
    </r>
    <r>
      <rPr>
        <b/>
        <sz val="11"/>
        <color theme="1"/>
        <rFont val="Tahoma"/>
        <family val="2"/>
        <charset val="222"/>
        <scheme val="minor"/>
      </rPr>
      <t>เตาเผา</t>
    </r>
    <r>
      <rPr>
        <sz val="11"/>
        <color theme="1"/>
        <rFont val="Tahoma"/>
        <family val="2"/>
        <charset val="222"/>
        <scheme val="minor"/>
      </rPr>
      <t>, เพื่อให้ค่าที่วัดได้ถูกปรับเข้าสู่ “ค่ามาตรฐานที่ O₂ = 7%” หรือปรับกลับจากค่ามาตรฐานไปเป็นค่าที่วัดได้จริง</t>
    </r>
  </si>
  <si>
    <t>🔍 ความหมายของสูตร</t>
  </si>
  <si>
    <t>1) x = y * ((20.9 – 7) / (20.9 – O₂%))</t>
  </si>
  <si>
    <r>
      <t xml:space="preserve">คือ </t>
    </r>
    <r>
      <rPr>
        <b/>
        <sz val="11"/>
        <color theme="1"/>
        <rFont val="Tahoma"/>
        <family val="2"/>
        <charset val="222"/>
        <scheme val="minor"/>
      </rPr>
      <t>การแปลงค่าที่วัดจริง (y)</t>
    </r>
    <r>
      <rPr>
        <sz val="11"/>
        <color theme="1"/>
        <rFont val="Tahoma"/>
        <family val="2"/>
        <charset val="222"/>
        <scheme val="minor"/>
      </rPr>
      <t xml:space="preserve"> ให้เป็น</t>
    </r>
  </si>
  <si>
    <r>
      <t xml:space="preserve">➡️ </t>
    </r>
    <r>
      <rPr>
        <b/>
        <sz val="11"/>
        <color theme="1"/>
        <rFont val="Tahoma"/>
        <family val="2"/>
        <charset val="222"/>
        <scheme val="minor"/>
      </rPr>
      <t>ค่าที่ถูกปรับเป็นมาตรฐานที่ O₂ = 7% (x)</t>
    </r>
  </si>
  <si>
    <t>ใช้เวลาต้องรายงานค่ามลพิษ เช่น NOx, CO, SO₂ ให้เป็นค่าที่ Correction O₂ 7%</t>
  </si>
  <si>
    <t>2) y = (x * (20.9 – O₂%) / (20.9 – 7))</t>
  </si>
  <si>
    <r>
      <t xml:space="preserve">คือ </t>
    </r>
    <r>
      <rPr>
        <b/>
        <sz val="11"/>
        <color theme="1"/>
        <rFont val="Tahoma"/>
        <family val="2"/>
        <charset val="222"/>
        <scheme val="minor"/>
      </rPr>
      <t>การแปลงค่าที่ Correction O₂ 7% (x)</t>
    </r>
  </si>
  <si>
    <r>
      <t xml:space="preserve">กลับไปเป็น ➡️ </t>
    </r>
    <r>
      <rPr>
        <b/>
        <sz val="11"/>
        <color theme="1"/>
        <rFont val="Tahoma"/>
        <family val="2"/>
        <charset val="222"/>
        <scheme val="minor"/>
      </rPr>
      <t>ค่าที่วัดจริงในปล่อง (y)</t>
    </r>
  </si>
  <si>
    <t>เมื่อทราบ O₂% ที่วัดได้จริง</t>
  </si>
  <si>
    <t>📌 20.9 คืออะไร?</t>
  </si>
  <si>
    <t>20.9% คือปริมาณออกซิเจนในอากาศปกติ</t>
  </si>
  <si>
    <t>📌 ใช้ทำไม?</t>
  </si>
  <si>
    <t>เพราะค่ามลพิษจะสูง–ต่ำตามปริมาณอากาศที่เจือจาง ดังนั้นกฎหมายจึงให้รายงานที่ O₂ มาตรฐาน เช่น 7% เพื่อเทียบกันได้ทุกโรงงาน</t>
  </si>
  <si>
    <t>✔ ตัวอย่างตามรูป</t>
  </si>
  <si>
    <t>O₂% วัดได้ = 13.9</t>
  </si>
  <si>
    <t>y (ค่าที่วัดจริง) = 602</t>
  </si>
  <si>
    <t>คำนวณ x:</t>
  </si>
  <si>
    <t>ซึ่งตรงกับ Excel ของคุณ</t>
  </si>
  <si>
    <t>สรุปสั้น ๆ</t>
  </si>
  <si>
    <r>
      <t xml:space="preserve">สูตรนี้คือ </t>
    </r>
    <r>
      <rPr>
        <b/>
        <sz val="11"/>
        <color theme="1"/>
        <rFont val="Tahoma"/>
        <family val="2"/>
        <charset val="222"/>
        <scheme val="minor"/>
      </rPr>
      <t>สูตรแก้ไขค่ามลพิษ (Pollutant Concentration Correction)</t>
    </r>
    <r>
      <rPr>
        <sz val="11"/>
        <color theme="1"/>
        <rFont val="Tahoma"/>
        <family val="2"/>
        <charset val="222"/>
        <scheme val="minor"/>
      </rPr>
      <t xml:space="preserve"> เพื่อปรับค่าตามออกซิเจนตามมาตรฐานที่กฎหมายกำหนด</t>
    </r>
  </si>
  <si>
    <t>ถ้าต้องการผมช่วยเขียนสูตร Excel ให้เวิร์กแบบอัตโนมัติ บอกตำแหน่งเซลล์มาได้เลยครับ!</t>
  </si>
  <si>
    <t>20.9-7</t>
  </si>
  <si>
    <t>20.9-O₂%</t>
  </si>
  <si>
    <t>y × (20.9 – 7) / (20.9 – O₂%)</t>
  </si>
  <si>
    <t>Y</t>
  </si>
  <si>
    <t>X</t>
  </si>
  <si>
    <t>standard</t>
  </si>
  <si>
    <r>
      <rPr>
        <sz val="12"/>
        <color theme="1"/>
        <rFont val="Tahoma"/>
        <family val="2"/>
      </rPr>
      <t>≤</t>
    </r>
    <r>
      <rPr>
        <sz val="11"/>
        <color theme="1"/>
        <rFont val="Tahoma"/>
        <family val="2"/>
      </rPr>
      <t>690</t>
    </r>
  </si>
  <si>
    <t>x ×  (20.9 – O₂%) / (20.9 – 7)</t>
  </si>
  <si>
    <t>Y × (20.9 – 7) / (20.9 – O₂%)</t>
  </si>
  <si>
    <t>X ×  (20.9 – O₂%) / (20.9 –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</si>
</sst>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[$-107041E]d\ mmm\ yy;@"/>
  </numFmts>
  <fonts count="13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3.5"/>
      <color theme="1"/>
      <name val="Tahoma"/>
      <family val="2"/>
      <charset val="222"/>
      <scheme val="minor"/>
    </font>
    <font>
      <b/>
      <sz val="24"/>
      <color theme="1"/>
      <name val="Tahoma"/>
      <family val="2"/>
      <charset val="222"/>
      <scheme val="minor"/>
    </font>
    <font>
      <sz val="10"/>
      <color theme="1"/>
      <name val="Arial Unicode MS"/>
    </font>
    <font>
      <b/>
      <sz val="18"/>
      <color theme="1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1"/>
      <color theme="1"/>
      <name val="Tahoma"/>
      <family val="2"/>
    </font>
    <font>
      <sz val="12"/>
      <color theme="1"/>
      <name val="Tahoma"/>
      <family val="2"/>
    </font>
    <font>
      <b/>
      <sz val="14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NumberFormat="1"/>
    <xf numFmtId="187" fontId="0" fillId="0" borderId="0" xfId="0" applyNumberFormat="1"/>
    <xf numFmtId="9" fontId="0" fillId="0" borderId="0" xfId="1" applyFont="1"/>
    <xf numFmtId="9" fontId="0" fillId="0" borderId="0" xfId="1" applyNumberFormat="1" applyFont="1"/>
    <xf numFmtId="2" fontId="0" fillId="0" borderId="0" xfId="0" applyNumberFormat="1"/>
    <xf numFmtId="2" fontId="0" fillId="0" borderId="0" xfId="1" applyNumberFormat="1" applyFont="1"/>
    <xf numFmtId="0" fontId="0" fillId="0" borderId="0" xfId="0" pivotButton="1"/>
    <xf numFmtId="187" fontId="0" fillId="0" borderId="0" xfId="0" applyNumberFormat="1" applyAlignment="1">
      <alignment horizontal="left"/>
    </xf>
    <xf numFmtId="0" fontId="2" fillId="2" borderId="1" xfId="0" applyFont="1" applyFill="1" applyBorder="1"/>
    <xf numFmtId="9" fontId="0" fillId="0" borderId="0" xfId="0" applyNumberFormat="1"/>
    <xf numFmtId="0" fontId="0" fillId="3" borderId="0" xfId="0" applyFill="1"/>
    <xf numFmtId="9" fontId="2" fillId="2" borderId="1" xfId="0" applyNumberFormat="1" applyFont="1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8" fillId="8" borderId="0" xfId="0" applyFont="1" applyFill="1"/>
    <xf numFmtId="0" fontId="7" fillId="8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8" borderId="6" xfId="0" applyFill="1" applyBorder="1"/>
    <xf numFmtId="0" fontId="0" fillId="8" borderId="10" xfId="0" applyFill="1" applyBorder="1"/>
    <xf numFmtId="0" fontId="11" fillId="0" borderId="0" xfId="0" applyFont="1"/>
    <xf numFmtId="0" fontId="12" fillId="0" borderId="0" xfId="0" applyFont="1" applyFill="1" applyAlignment="1">
      <alignment vertical="center"/>
    </xf>
    <xf numFmtId="0" fontId="10" fillId="8" borderId="5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2">
    <cellStyle name="ปกติ" xfId="0" builtinId="0"/>
    <cellStyle name="เปอร์เซ็นต์" xfId="1" builtinId="5"/>
  </cellStyles>
  <dxfs count="4">
    <dxf>
      <numFmt numFmtId="0" formatCode="General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5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[%CONDENSATE BOILER.xlsx]Pivote!PivotTable4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th-TH">
                <a:solidFill>
                  <a:schemeClr val="dk1"/>
                </a:solidFill>
                <a:latin typeface="+mn-lt"/>
                <a:ea typeface="+mn-ea"/>
                <a:cs typeface="+mn-cs"/>
              </a:rPr>
              <a:t>ปริมาณการใช้สตีม รายวัน</a:t>
            </a:r>
            <a:endParaRPr lang="th-TH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Pivote!$L$3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Pivote!$K$4:$K$11</c:f>
              <c:strCache>
                <c:ptCount val="7"/>
                <c:pt idx="0">
                  <c:v>1 ธ.ค. 68</c:v>
                </c:pt>
                <c:pt idx="1">
                  <c:v>2 ธ.ค. 68</c:v>
                </c:pt>
                <c:pt idx="2">
                  <c:v>3 ธ.ค. 68</c:v>
                </c:pt>
                <c:pt idx="3">
                  <c:v>4 ธ.ค. 68</c:v>
                </c:pt>
                <c:pt idx="4">
                  <c:v>5 ธ.ค. 68</c:v>
                </c:pt>
                <c:pt idx="5">
                  <c:v>6 ธ.ค. 68</c:v>
                </c:pt>
                <c:pt idx="6">
                  <c:v>7 ธ.ค. 68</c:v>
                </c:pt>
              </c:strCache>
            </c:strRef>
          </c:cat>
          <c:val>
            <c:numRef>
              <c:f>Pivote!$L$4:$L$11</c:f>
              <c:numCache>
                <c:formatCode>General</c:formatCode>
                <c:ptCount val="7"/>
                <c:pt idx="0">
                  <c:v>87.600000000020373</c:v>
                </c:pt>
                <c:pt idx="1">
                  <c:v>107.1</c:v>
                </c:pt>
                <c:pt idx="2">
                  <c:v>107.7</c:v>
                </c:pt>
                <c:pt idx="3">
                  <c:v>106.29999999998253</c:v>
                </c:pt>
                <c:pt idx="4">
                  <c:v>108.3</c:v>
                </c:pt>
                <c:pt idx="5">
                  <c:v>108.69999999999418</c:v>
                </c:pt>
                <c:pt idx="6">
                  <c:v>46.100000000020373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D-43CC-BBE0-7B6D5FA34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517136"/>
        <c:axId val="1737510064"/>
      </c:barChart>
      <c:catAx>
        <c:axId val="173751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10064"/>
        <c:crosses val="autoZero"/>
        <c:auto val="1"/>
        <c:lblAlgn val="ctr"/>
        <c:lblOffset val="100"/>
        <c:noMultiLvlLbl val="0"/>
      </c:catAx>
      <c:valAx>
        <c:axId val="173751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1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[%CONDENSATE BOILER.xlsx]Pivote!PivotTable3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Condensate Return BHS/YUELI</a:t>
            </a:r>
            <a:endParaRPr lang="en-US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Pivote!$I$3</c:f>
              <c:strCache>
                <c:ptCount val="1"/>
                <c:pt idx="0">
                  <c:v> CON Return bhs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Pivote!$H$4:$H$11</c:f>
              <c:strCache>
                <c:ptCount val="7"/>
                <c:pt idx="0">
                  <c:v>1 ธ.ค. 68</c:v>
                </c:pt>
                <c:pt idx="1">
                  <c:v>2 ธ.ค. 68</c:v>
                </c:pt>
                <c:pt idx="2">
                  <c:v>3 ธ.ค. 68</c:v>
                </c:pt>
                <c:pt idx="3">
                  <c:v>4 ธ.ค. 68</c:v>
                </c:pt>
                <c:pt idx="4">
                  <c:v>5 ธ.ค. 68</c:v>
                </c:pt>
                <c:pt idx="5">
                  <c:v>6 ธ.ค. 68</c:v>
                </c:pt>
                <c:pt idx="6">
                  <c:v>7 ธ.ค. 68</c:v>
                </c:pt>
              </c:strCache>
            </c:strRef>
          </c:cat>
          <c:val>
            <c:numRef>
              <c:f>Pivote!$I$4:$I$11</c:f>
              <c:numCache>
                <c:formatCode>General</c:formatCode>
                <c:ptCount val="7"/>
                <c:pt idx="0">
                  <c:v>34.074725274739862</c:v>
                </c:pt>
                <c:pt idx="1">
                  <c:v>28.333333333333332</c:v>
                </c:pt>
                <c:pt idx="2">
                  <c:v>30.352941176470587</c:v>
                </c:pt>
                <c:pt idx="3">
                  <c:v>35.086597938130467</c:v>
                </c:pt>
                <c:pt idx="4">
                  <c:v>33.273809523809526</c:v>
                </c:pt>
                <c:pt idx="5">
                  <c:v>33.421176470583646</c:v>
                </c:pt>
                <c:pt idx="6">
                  <c:v>20.10909090911181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E-4A90-BEF9-C37ECC0F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497584"/>
        <c:axId val="1737511312"/>
      </c:barChart>
      <c:lineChart>
        <c:grouping val="standard"/>
        <c:varyColors val="0"/>
        <c:ser>
          <c:idx val="1"/>
          <c:order val="1"/>
          <c:tx>
            <c:strRef>
              <c:f>Pivote!$J$3</c:f>
              <c:strCache>
                <c:ptCount val="1"/>
                <c:pt idx="0">
                  <c:v>  CON Return yueli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Pivote!$H$4:$H$11</c:f>
              <c:strCache>
                <c:ptCount val="7"/>
                <c:pt idx="0">
                  <c:v>1 ธ.ค. 68</c:v>
                </c:pt>
                <c:pt idx="1">
                  <c:v>2 ธ.ค. 68</c:v>
                </c:pt>
                <c:pt idx="2">
                  <c:v>3 ธ.ค. 68</c:v>
                </c:pt>
                <c:pt idx="3">
                  <c:v>4 ธ.ค. 68</c:v>
                </c:pt>
                <c:pt idx="4">
                  <c:v>5 ธ.ค. 68</c:v>
                </c:pt>
                <c:pt idx="5">
                  <c:v>6 ธ.ค. 68</c:v>
                </c:pt>
                <c:pt idx="6">
                  <c:v>7 ธ.ค. 68</c:v>
                </c:pt>
              </c:strCache>
            </c:strRef>
          </c:cat>
          <c:val>
            <c:numRef>
              <c:f>Pivote!$J$4:$J$11</c:f>
              <c:numCache>
                <c:formatCode>General</c:formatCode>
                <c:ptCount val="7"/>
                <c:pt idx="0">
                  <c:v>39.085714285716719</c:v>
                </c:pt>
                <c:pt idx="1">
                  <c:v>43.06666666666667</c:v>
                </c:pt>
                <c:pt idx="2">
                  <c:v>45.670588235294126</c:v>
                </c:pt>
                <c:pt idx="3">
                  <c:v>49.295876288659791</c:v>
                </c:pt>
                <c:pt idx="4">
                  <c:v>50.529761904761905</c:v>
                </c:pt>
                <c:pt idx="5">
                  <c:v>52.259999999999991</c:v>
                </c:pt>
                <c:pt idx="6">
                  <c:v>21.27613636363375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1E-4A90-BEF9-C37ECC0F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97584"/>
        <c:axId val="1737511312"/>
      </c:lineChart>
      <c:catAx>
        <c:axId val="17374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11312"/>
        <c:crosses val="autoZero"/>
        <c:auto val="1"/>
        <c:lblAlgn val="ctr"/>
        <c:lblOffset val="100"/>
        <c:noMultiLvlLbl val="0"/>
      </c:catAx>
      <c:valAx>
        <c:axId val="17375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49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[%CONDENSATE BOILER.xlsx]Pivote!PivotTable2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%Condaensate Return</a:t>
            </a:r>
            <a:endParaRPr lang="en-US"/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Pivote!$F$3</c:f>
              <c:strCache>
                <c:ptCount val="1"/>
                <c:pt idx="0">
                  <c:v>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Pivote!$E$4:$E$11</c:f>
              <c:strCache>
                <c:ptCount val="7"/>
                <c:pt idx="0">
                  <c:v>1 ธ.ค. 68</c:v>
                </c:pt>
                <c:pt idx="1">
                  <c:v>2 ธ.ค. 68</c:v>
                </c:pt>
                <c:pt idx="2">
                  <c:v>3 ธ.ค. 68</c:v>
                </c:pt>
                <c:pt idx="3">
                  <c:v>4 ธ.ค. 68</c:v>
                </c:pt>
                <c:pt idx="4">
                  <c:v>5 ธ.ค. 68</c:v>
                </c:pt>
                <c:pt idx="5">
                  <c:v>6 ธ.ค. 68</c:v>
                </c:pt>
                <c:pt idx="6">
                  <c:v>7 ธ.ค. 68</c:v>
                </c:pt>
              </c:strCache>
            </c:strRef>
          </c:cat>
          <c:val>
            <c:numRef>
              <c:f>Pivote!$F$4:$F$11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BC-4C1A-8A12-BD82714D006E}"/>
            </c:ext>
          </c:extLst>
        </c:ser>
        <c:ser>
          <c:idx val="1"/>
          <c:order val="1"/>
          <c:tx>
            <c:strRef>
              <c:f>Pivote!$G$3</c:f>
              <c:strCache>
                <c:ptCount val="1"/>
                <c:pt idx="0">
                  <c:v> %  condensate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Pivote!$E$4:$E$11</c:f>
              <c:strCache>
                <c:ptCount val="7"/>
                <c:pt idx="0">
                  <c:v>1 ธ.ค. 68</c:v>
                </c:pt>
                <c:pt idx="1">
                  <c:v>2 ธ.ค. 68</c:v>
                </c:pt>
                <c:pt idx="2">
                  <c:v>3 ธ.ค. 68</c:v>
                </c:pt>
                <c:pt idx="3">
                  <c:v>4 ธ.ค. 68</c:v>
                </c:pt>
                <c:pt idx="4">
                  <c:v>5 ธ.ค. 68</c:v>
                </c:pt>
                <c:pt idx="5">
                  <c:v>6 ธ.ค. 68</c:v>
                </c:pt>
                <c:pt idx="6">
                  <c:v>7 ธ.ค. 68</c:v>
                </c:pt>
              </c:strCache>
            </c:strRef>
          </c:cat>
          <c:val>
            <c:numRef>
              <c:f>Pivote!$G$4:$G$11</c:f>
              <c:numCache>
                <c:formatCode>0%</c:formatCode>
                <c:ptCount val="7"/>
                <c:pt idx="0">
                  <c:v>0.86757990867559731</c:v>
                </c:pt>
                <c:pt idx="1">
                  <c:v>0.3734827264239029</c:v>
                </c:pt>
                <c:pt idx="2">
                  <c:v>0.44568245125348188</c:v>
                </c:pt>
                <c:pt idx="3">
                  <c:v>0.72436500470378784</c:v>
                </c:pt>
                <c:pt idx="4">
                  <c:v>0.60018467220683291</c:v>
                </c:pt>
                <c:pt idx="5">
                  <c:v>0.61637534498623359</c:v>
                </c:pt>
                <c:pt idx="6">
                  <c:v>1.7136659436001103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C-4C1A-8A12-BD82714D0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503408"/>
        <c:axId val="1737494672"/>
      </c:lineChart>
      <c:catAx>
        <c:axId val="173750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494672"/>
        <c:crosses val="autoZero"/>
        <c:auto val="1"/>
        <c:lblAlgn val="ctr"/>
        <c:lblOffset val="100"/>
        <c:noMultiLvlLbl val="0"/>
      </c:catAx>
      <c:valAx>
        <c:axId val="17374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0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[%CONDENSATE BOILER.xlsx]Pivote!PivotTable1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th-TH">
                <a:solidFill>
                  <a:schemeClr val="dk1"/>
                </a:solidFill>
                <a:latin typeface="+mn-lt"/>
                <a:ea typeface="+mn-ea"/>
                <a:cs typeface="+mn-cs"/>
              </a:rPr>
              <a:t>ปริมาณการใช้น้ำ</a:t>
            </a:r>
            <a:endParaRPr lang="th-TH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Pivote!$B$3</c:f>
              <c:strCache>
                <c:ptCount val="1"/>
                <c:pt idx="0">
                  <c:v> Soft Mark 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Pivote!$A$4:$A$11</c:f>
              <c:strCache>
                <c:ptCount val="7"/>
                <c:pt idx="0">
                  <c:v>1 ธ.ค. 68</c:v>
                </c:pt>
                <c:pt idx="1">
                  <c:v>2 ธ.ค. 68</c:v>
                </c:pt>
                <c:pt idx="2">
                  <c:v>3 ธ.ค. 68</c:v>
                </c:pt>
                <c:pt idx="3">
                  <c:v>4 ธ.ค. 68</c:v>
                </c:pt>
                <c:pt idx="4">
                  <c:v>5 ธ.ค. 68</c:v>
                </c:pt>
                <c:pt idx="5">
                  <c:v>6 ธ.ค. 68</c:v>
                </c:pt>
                <c:pt idx="6">
                  <c:v>7 ธ.ค. 68</c:v>
                </c:pt>
              </c:strCache>
            </c:strRef>
          </c:cat>
          <c:val>
            <c:numRef>
              <c:f>Pivote!$B$4:$B$11</c:f>
              <c:numCache>
                <c:formatCode>General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6-44F4-AC72-590F351067DC}"/>
            </c:ext>
          </c:extLst>
        </c:ser>
        <c:ser>
          <c:idx val="1"/>
          <c:order val="1"/>
          <c:tx>
            <c:strRef>
              <c:f>Pivote!$C$3</c:f>
              <c:strCache>
                <c:ptCount val="1"/>
                <c:pt idx="0">
                  <c:v> มิเตอร์น้ำ Boiler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Pivote!$A$4:$A$11</c:f>
              <c:strCache>
                <c:ptCount val="7"/>
                <c:pt idx="0">
                  <c:v>1 ธ.ค. 68</c:v>
                </c:pt>
                <c:pt idx="1">
                  <c:v>2 ธ.ค. 68</c:v>
                </c:pt>
                <c:pt idx="2">
                  <c:v>3 ธ.ค. 68</c:v>
                </c:pt>
                <c:pt idx="3">
                  <c:v>4 ธ.ค. 68</c:v>
                </c:pt>
                <c:pt idx="4">
                  <c:v>5 ธ.ค. 68</c:v>
                </c:pt>
                <c:pt idx="5">
                  <c:v>6 ธ.ค. 68</c:v>
                </c:pt>
                <c:pt idx="6">
                  <c:v>7 ธ.ค. 68</c:v>
                </c:pt>
              </c:strCache>
            </c:strRef>
          </c:cat>
          <c:val>
            <c:numRef>
              <c:f>Pivote!$C$4:$C$11</c:f>
              <c:numCache>
                <c:formatCode>General</c:formatCode>
                <c:ptCount val="7"/>
                <c:pt idx="0">
                  <c:v>91</c:v>
                </c:pt>
                <c:pt idx="1">
                  <c:v>60</c:v>
                </c:pt>
                <c:pt idx="2">
                  <c:v>68</c:v>
                </c:pt>
                <c:pt idx="3">
                  <c:v>97</c:v>
                </c:pt>
                <c:pt idx="4">
                  <c:v>84</c:v>
                </c:pt>
                <c:pt idx="5">
                  <c:v>85</c:v>
                </c:pt>
                <c:pt idx="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6-44F4-AC72-590F351067DC}"/>
            </c:ext>
          </c:extLst>
        </c:ser>
        <c:ser>
          <c:idx val="2"/>
          <c:order val="2"/>
          <c:tx>
            <c:strRef>
              <c:f>Pivote!$D$3</c:f>
              <c:strCache>
                <c:ptCount val="1"/>
                <c:pt idx="0">
                  <c:v> น้ำ CONDENSATE กลับ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Pivote!$A$4:$A$11</c:f>
              <c:strCache>
                <c:ptCount val="7"/>
                <c:pt idx="0">
                  <c:v>1 ธ.ค. 68</c:v>
                </c:pt>
                <c:pt idx="1">
                  <c:v>2 ธ.ค. 68</c:v>
                </c:pt>
                <c:pt idx="2">
                  <c:v>3 ธ.ค. 68</c:v>
                </c:pt>
                <c:pt idx="3">
                  <c:v>4 ธ.ค. 68</c:v>
                </c:pt>
                <c:pt idx="4">
                  <c:v>5 ธ.ค. 68</c:v>
                </c:pt>
                <c:pt idx="5">
                  <c:v>6 ธ.ค. 68</c:v>
                </c:pt>
                <c:pt idx="6">
                  <c:v>7 ธ.ค. 68</c:v>
                </c:pt>
              </c:strCache>
            </c:strRef>
          </c:cat>
          <c:val>
            <c:numRef>
              <c:f>Pivote!$D$4:$D$11</c:f>
              <c:numCache>
                <c:formatCode>General</c:formatCode>
                <c:ptCount val="7"/>
                <c:pt idx="0">
                  <c:v>76</c:v>
                </c:pt>
                <c:pt idx="1">
                  <c:v>40</c:v>
                </c:pt>
                <c:pt idx="2">
                  <c:v>48</c:v>
                </c:pt>
                <c:pt idx="3">
                  <c:v>77</c:v>
                </c:pt>
                <c:pt idx="4">
                  <c:v>65</c:v>
                </c:pt>
                <c:pt idx="5">
                  <c:v>67</c:v>
                </c:pt>
                <c:pt idx="6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6-44F4-AC72-590F35106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502576"/>
        <c:axId val="1737509232"/>
      </c:lineChart>
      <c:catAx>
        <c:axId val="173750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09232"/>
        <c:crosses val="autoZero"/>
        <c:auto val="1"/>
        <c:lblAlgn val="ctr"/>
        <c:lblOffset val="100"/>
        <c:noMultiLvlLbl val="0"/>
      </c:catAx>
      <c:valAx>
        <c:axId val="173750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0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[%CONDENSATE BOILER.xlsx]Pivote!PivotTable5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%Diff</a:t>
            </a:r>
            <a:endParaRPr lang="th-TH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Pivote!$N$3</c:f>
              <c:strCache>
                <c:ptCount val="1"/>
                <c:pt idx="0">
                  <c:v>ผลรวม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Pivote!$M$4:$M$11</c:f>
              <c:strCache>
                <c:ptCount val="7"/>
                <c:pt idx="0">
                  <c:v>1 ธ.ค. 68</c:v>
                </c:pt>
                <c:pt idx="1">
                  <c:v>2 ธ.ค. 68</c:v>
                </c:pt>
                <c:pt idx="2">
                  <c:v>3 ธ.ค. 68</c:v>
                </c:pt>
                <c:pt idx="3">
                  <c:v>4 ธ.ค. 68</c:v>
                </c:pt>
                <c:pt idx="4">
                  <c:v>5 ธ.ค. 68</c:v>
                </c:pt>
                <c:pt idx="5">
                  <c:v>6 ธ.ค. 68</c:v>
                </c:pt>
                <c:pt idx="6">
                  <c:v>7 ธ.ค. 68</c:v>
                </c:pt>
              </c:strCache>
            </c:strRef>
          </c:cat>
          <c:val>
            <c:numRef>
              <c:f>Pivote!$N$4:$N$11</c:f>
              <c:numCache>
                <c:formatCode>0%</c:formatCode>
                <c:ptCount val="7"/>
                <c:pt idx="0">
                  <c:v>8.4474885844496583E-2</c:v>
                </c:pt>
                <c:pt idx="1">
                  <c:v>-0.53314659197012138</c:v>
                </c:pt>
                <c:pt idx="2">
                  <c:v>-0.44289693593314772</c:v>
                </c:pt>
                <c:pt idx="3">
                  <c:v>-9.4543744120265255E-2</c:v>
                </c:pt>
                <c:pt idx="4">
                  <c:v>-0.24976915974145888</c:v>
                </c:pt>
                <c:pt idx="5">
                  <c:v>-0.22953081876720807</c:v>
                </c:pt>
                <c:pt idx="6">
                  <c:v>1.1420824295001377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6E-4F1E-BF9B-74B6BC1C6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198896"/>
        <c:axId val="1737203472"/>
      </c:lineChart>
      <c:catAx>
        <c:axId val="1737198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7203472"/>
        <c:crosses val="autoZero"/>
        <c:auto val="1"/>
        <c:lblAlgn val="ctr"/>
        <c:lblOffset val="100"/>
        <c:noMultiLvlLbl val="0"/>
      </c:catAx>
      <c:valAx>
        <c:axId val="17372034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19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CONDENSATE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RETURN</a:t>
            </a:r>
            <a:endParaRPr lang="en-US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F1-4CE7-89C3-6A54083078E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F1-4CE7-89C3-6A54083078E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Pivote!$P$3:$P$5</c:f>
              <c:strCache>
                <c:ptCount val="3"/>
                <c:pt idx="0">
                  <c:v> %DIFF</c:v>
                </c:pt>
                <c:pt idx="1">
                  <c:v> Target</c:v>
                </c:pt>
                <c:pt idx="2">
                  <c:v> %  condensate </c:v>
                </c:pt>
              </c:strCache>
            </c:strRef>
          </c:cat>
          <c:val>
            <c:numRef>
              <c:f>Pivote!$Q$3:$Q$5</c:f>
              <c:numCache>
                <c:formatCode>0%</c:formatCode>
                <c:ptCount val="3"/>
                <c:pt idx="0">
                  <c:v>-4.6189990741080988E-2</c:v>
                </c:pt>
                <c:pt idx="1">
                  <c:v>0.8</c:v>
                </c:pt>
                <c:pt idx="2">
                  <c:v>0.76304800740713519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F1-4CE7-89C3-6A5408307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83404639"/>
        <c:axId val="1083405887"/>
      </c:barChart>
      <c:valAx>
        <c:axId val="10834058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83404639"/>
        <c:crosses val="autoZero"/>
        <c:crossBetween val="between"/>
      </c:valAx>
      <c:catAx>
        <c:axId val="10834046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83405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619124</xdr:colOff>
      <xdr:row>23</xdr:row>
      <xdr:rowOff>28575</xdr:rowOff>
    </xdr:to>
    <xdr:graphicFrame macro="">
      <xdr:nvGraphicFramePr>
        <xdr:cNvPr id="3" name="แผนภูมิ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13</xdr:col>
      <xdr:colOff>590550</xdr:colOff>
      <xdr:row>23</xdr:row>
      <xdr:rowOff>28575</xdr:rowOff>
    </xdr:to>
    <xdr:graphicFrame macro="">
      <xdr:nvGraphicFramePr>
        <xdr:cNvPr id="5" name="แผนภูมิ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609600</xdr:colOff>
      <xdr:row>39</xdr:row>
      <xdr:rowOff>28575</xdr:rowOff>
    </xdr:to>
    <xdr:graphicFrame macro="">
      <xdr:nvGraphicFramePr>
        <xdr:cNvPr id="7" name="แผนภูมิ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13</xdr:col>
      <xdr:colOff>590550</xdr:colOff>
      <xdr:row>39</xdr:row>
      <xdr:rowOff>28575</xdr:rowOff>
    </xdr:to>
    <xdr:graphicFrame macro="">
      <xdr:nvGraphicFramePr>
        <xdr:cNvPr id="9" name="แผนภูมิ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76199</xdr:colOff>
      <xdr:row>0</xdr:row>
      <xdr:rowOff>9525</xdr:rowOff>
    </xdr:from>
    <xdr:to>
      <xdr:col>7</xdr:col>
      <xdr:colOff>390524</xdr:colOff>
      <xdr:row>7</xdr:row>
      <xdr:rowOff>133350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วันที่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วันที่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9" y="9525"/>
              <a:ext cx="5114925" cy="139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ไทม์ไลน์: ใช้งานได้ใน Excel หรือเวอร์ชันที่สูงกว่า ไม่สามารถย้ายหรือปรับขนาด</a:t>
              </a:r>
            </a:p>
          </xdr:txBody>
        </xdr:sp>
      </mc:Fallback>
    </mc:AlternateContent>
    <xdr:clientData/>
  </xdr:twoCellAnchor>
  <xdr:twoCellAnchor>
    <xdr:from>
      <xdr:col>7</xdr:col>
      <xdr:colOff>571500</xdr:colOff>
      <xdr:row>3</xdr:row>
      <xdr:rowOff>57150</xdr:rowOff>
    </xdr:from>
    <xdr:to>
      <xdr:col>13</xdr:col>
      <xdr:colOff>266700</xdr:colOff>
      <xdr:row>6</xdr:row>
      <xdr:rowOff>76200</xdr:rowOff>
    </xdr:to>
    <xdr:sp macro="" textlink="">
      <xdr:nvSpPr>
        <xdr:cNvPr id="11" name="สี่เหลี่ยมผืนผ้ามุมมน 10"/>
        <xdr:cNvSpPr/>
      </xdr:nvSpPr>
      <xdr:spPr>
        <a:xfrm>
          <a:off x="5372100" y="600075"/>
          <a:ext cx="3810000" cy="561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%Condensate</a:t>
          </a:r>
          <a:r>
            <a:rPr lang="en-US" sz="2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Return Boiler</a:t>
          </a:r>
          <a:endParaRPr lang="th-TH" sz="2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0</xdr:colOff>
      <xdr:row>24</xdr:row>
      <xdr:rowOff>0</xdr:rowOff>
    </xdr:from>
    <xdr:to>
      <xdr:col>20</xdr:col>
      <xdr:colOff>457200</xdr:colOff>
      <xdr:row>39</xdr:row>
      <xdr:rowOff>28575</xdr:rowOff>
    </xdr:to>
    <xdr:graphicFrame macro="">
      <xdr:nvGraphicFramePr>
        <xdr:cNvPr id="13" name="แผนภูมิ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8</xdr:row>
      <xdr:rowOff>0</xdr:rowOff>
    </xdr:from>
    <xdr:to>
      <xdr:col>20</xdr:col>
      <xdr:colOff>457200</xdr:colOff>
      <xdr:row>23</xdr:row>
      <xdr:rowOff>28575</xdr:rowOff>
    </xdr:to>
    <xdr:graphicFrame macro="">
      <xdr:nvGraphicFramePr>
        <xdr:cNvPr id="15" name="แผนภูมิ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342900</xdr:colOff>
      <xdr:row>0</xdr:row>
      <xdr:rowOff>47625</xdr:rowOff>
    </xdr:from>
    <xdr:to>
      <xdr:col>16</xdr:col>
      <xdr:colOff>285749</xdr:colOff>
      <xdr:row>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วันที่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วันที่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8300" y="47625"/>
              <a:ext cx="2000249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รูปร่างนี้แสดงถึงตัวแบ่งส่วนข้อมูล ซึ่งสนับสนุนใน Excel 2010 หรือเวอร์ชันที่ใหม่กว่า
ถ้ารูปร่างถูกปรับเปลี่ยนใน Excel เวอร์ชันก่อนหน้า หรือถ้าเวิร์กบุ๊กถูกบันทึกใน Excel 2003 หรือเวอร์ชันก่อนหน้า จะไม่สามารถใช้ตัวแบ่งส่วนข้อมูลได้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168</xdr:row>
          <xdr:rowOff>123825</xdr:rowOff>
        </xdr:from>
        <xdr:to>
          <xdr:col>6</xdr:col>
          <xdr:colOff>180975</xdr:colOff>
          <xdr:row>170</xdr:row>
          <xdr:rowOff>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559565</xdr:colOff>
      <xdr:row>2</xdr:row>
      <xdr:rowOff>238186</xdr:rowOff>
    </xdr:from>
    <xdr:to>
      <xdr:col>23</xdr:col>
      <xdr:colOff>161925</xdr:colOff>
      <xdr:row>22</xdr:row>
      <xdr:rowOff>142875</xdr:rowOff>
    </xdr:to>
    <xdr:pic>
      <xdr:nvPicPr>
        <xdr:cNvPr id="4" name="รูปภาพ 3" descr="C:\Users\nb.boiler\Pictures\New folder\New folder\33498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2565" y="600136"/>
          <a:ext cx="7831960" cy="4276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@Morning%20talk/Data%20morning%20talk%202024/&#3648;&#3604;&#3639;&#3629;&#3609;%206/Utilit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&#3586;&#3657;&#3629;&#3617;&#3641;&#3621;&#3623;&#3636;&#3648;&#3588;&#3619;&#3634;&#3632;&#3627;&#3660;&#3606;&#3656;&#3634;&#3609;&#3627;&#3636;&#3609;/&#3586;&#3657;&#3629;&#3617;&#3641;&#3621;&#3611;&#3637;68/9&#3585;.&#3618;.6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.&#3586;&#3657;&#3629;&#3617;&#3641;&#3621;&#3623;&#3636;&#3648;&#3588;&#3619;&#3634;&#3632;&#3627;&#3660;&#3609;&#3657;&#3635;&#3612;&#3621;&#3636;&#3605;/&#3586;&#3657;&#3629;&#3617;&#3641;&#3621;&#3611;&#3637;68/9.&#3609;&#3657;&#3635;%20&#3585;.&#3618;.6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.&#3586;&#3657;&#3629;&#3617;&#3641;&#3621;&#3623;&#3636;&#3648;&#3588;&#3619;&#3634;&#3632;&#3627;&#3660;&#3609;&#3657;&#3635;&#3612;&#3621;&#3636;&#3605;/&#3586;&#3657;&#3629;&#3617;&#3641;&#3621;&#3611;&#3637;68/10.&#3609;&#3657;&#3635;%20&#3605;.&#3588;.6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.&#3586;&#3657;&#3629;&#3617;&#3641;&#3621;&#3623;&#3636;&#3648;&#3588;&#3619;&#3634;&#3632;&#3627;&#3660;&#3606;&#3656;&#3634;&#3609;&#3627;&#3636;&#3609;/&#3586;&#3657;&#3629;&#3617;&#3641;&#3621;&#3611;&#3637;68/10&#3605;.&#3588;.6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.&#3586;&#3657;&#3629;&#3617;&#3641;&#3621;&#3623;&#3636;&#3648;&#3588;&#3619;&#3634;&#3632;&#3627;&#3660;&#3609;&#3657;&#3635;&#3612;&#3621;&#3636;&#3605;/&#3586;&#3657;&#3629;&#3617;&#3641;&#3621;&#3611;&#3637;68/11.&#3609;&#3657;&#3635;%20&#3614;.&#3618;.6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.&#3586;&#3657;&#3629;&#3617;&#3641;&#3621;&#3623;&#3636;&#3648;&#3588;&#3619;&#3634;&#3632;&#3627;&#3660;&#3606;&#3656;&#3634;&#3609;&#3627;&#3636;&#3609;/&#3586;&#3657;&#3629;&#3617;&#3641;&#3621;&#3611;&#3637;68/11&#3614;.&#3618;.6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.&#3586;&#3657;&#3629;&#3617;&#3641;&#3621;&#3623;&#3636;&#3648;&#3588;&#3619;&#3634;&#3632;&#3627;&#3660;&#3609;&#3657;&#3635;&#3612;&#3621;&#3636;&#3605;/&#3586;&#3657;&#3629;&#3617;&#3641;&#3621;&#3611;&#3637;68/12.&#3609;&#3657;&#3635;%20&#3608;.&#3588;.6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.&#3586;&#3657;&#3629;&#3617;&#3641;&#3621;&#3623;&#3636;&#3648;&#3588;&#3619;&#3634;&#3632;&#3627;&#3660;&#3606;&#3656;&#3634;&#3609;&#3627;&#3636;&#3609;/&#3586;&#3657;&#3629;&#3617;&#3641;&#3621;&#3611;&#3637;68/12&#3608;.&#3588;.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am Cost"/>
      <sheetName val="Power Air Cost"/>
      <sheetName val="Electric Cost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่งบัญชี"/>
      <sheetName val="แผนเรียกถ่าน"/>
      <sheetName val="Steam Simulation Coal"/>
      <sheetName val="สูตร "/>
      <sheetName val="แนวทางการปรัปความร้อน"/>
      <sheetName val="Mix Coal"/>
      <sheetName val="มิเตอร์น้ำ"/>
      <sheetName val="การใช้ไอ"/>
      <sheetName val="ข้อมูลการลงถ่านหิน"/>
      <sheetName val="การวัดกองถ่านหิน"/>
      <sheetName val="Monitor รายวัน"/>
      <sheetName val="เทียบการใช้ไอต่อผลิต"/>
      <sheetName val="%condent"/>
      <sheetName val="Output"/>
      <sheetName val="LFB-STS-FM-001 R.01 (4)"/>
      <sheetName val="ข้อมูลตัด ถ่านหิน"/>
      <sheetName val="1.บาทต่อการผลิต"/>
      <sheetName val="2.การใช้ถ่านต่อไอน้ำ"/>
      <sheetName val="3.การใช้ไอน้ำต่อผลิต"/>
      <sheetName val="4ราคาถ่านหิน"/>
      <sheetName val="5% OUTPUT"/>
      <sheetName val="6.ต้นทุนถ่านหินผลิตไอน้ำ"/>
      <sheetName val="ค่าน้ำผลิต"/>
      <sheetName val="mornitor"/>
      <sheetName val="%Diff"/>
      <sheetName val="Data"/>
      <sheetName val="Pivot"/>
      <sheetName val="Steam Cost"/>
      <sheetName val="Power Air Cost"/>
      <sheetName val="ถ่านแต่ละชนิ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T3">
            <v>64</v>
          </cell>
        </row>
        <row r="4">
          <cell r="AT4">
            <v>91</v>
          </cell>
        </row>
        <row r="5">
          <cell r="AT5">
            <v>87</v>
          </cell>
        </row>
        <row r="6">
          <cell r="AT6">
            <v>101</v>
          </cell>
        </row>
        <row r="7">
          <cell r="AT7">
            <v>86</v>
          </cell>
        </row>
        <row r="8">
          <cell r="AT8">
            <v>106</v>
          </cell>
        </row>
        <row r="9">
          <cell r="AT9">
            <v>36</v>
          </cell>
        </row>
        <row r="10">
          <cell r="AT10">
            <v>82</v>
          </cell>
        </row>
        <row r="11">
          <cell r="AT11">
            <v>90</v>
          </cell>
        </row>
        <row r="12">
          <cell r="AT12">
            <v>89</v>
          </cell>
        </row>
        <row r="13">
          <cell r="AT13">
            <v>86</v>
          </cell>
        </row>
        <row r="14">
          <cell r="AT14">
            <v>86</v>
          </cell>
        </row>
        <row r="15">
          <cell r="AT15">
            <v>100</v>
          </cell>
        </row>
        <row r="16">
          <cell r="AT16">
            <v>28</v>
          </cell>
        </row>
        <row r="17">
          <cell r="AT17">
            <v>84</v>
          </cell>
        </row>
        <row r="18">
          <cell r="AT18">
            <v>89</v>
          </cell>
        </row>
        <row r="19">
          <cell r="AT19">
            <v>84</v>
          </cell>
        </row>
        <row r="20">
          <cell r="AT20">
            <v>89</v>
          </cell>
        </row>
        <row r="21">
          <cell r="AT21">
            <v>88</v>
          </cell>
        </row>
        <row r="22">
          <cell r="AT22">
            <v>86</v>
          </cell>
        </row>
        <row r="23">
          <cell r="AT23">
            <v>17</v>
          </cell>
        </row>
        <row r="24">
          <cell r="AT24">
            <v>48</v>
          </cell>
        </row>
        <row r="25">
          <cell r="AT25">
            <v>84</v>
          </cell>
        </row>
        <row r="26">
          <cell r="AT26">
            <v>90</v>
          </cell>
        </row>
        <row r="27">
          <cell r="AT27">
            <v>86</v>
          </cell>
        </row>
        <row r="28">
          <cell r="AT28">
            <v>68</v>
          </cell>
        </row>
        <row r="29">
          <cell r="AT29">
            <v>81</v>
          </cell>
        </row>
        <row r="30">
          <cell r="AT30">
            <v>11</v>
          </cell>
        </row>
        <row r="31">
          <cell r="AT31">
            <v>63</v>
          </cell>
        </row>
        <row r="32">
          <cell r="AT32">
            <v>93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48</v>
          </cell>
          <cell r="D6">
            <v>27.299999999999272</v>
          </cell>
        </row>
        <row r="7">
          <cell r="C7">
            <v>41.799999999988358</v>
          </cell>
          <cell r="D7">
            <v>36.799999999999272</v>
          </cell>
        </row>
        <row r="8">
          <cell r="C8">
            <v>40.5</v>
          </cell>
          <cell r="D8">
            <v>38.700000000000728</v>
          </cell>
        </row>
        <row r="9">
          <cell r="C9">
            <v>40.399999999994179</v>
          </cell>
          <cell r="D9">
            <v>59.8</v>
          </cell>
        </row>
        <row r="10">
          <cell r="C10">
            <v>40.600000000005821</v>
          </cell>
          <cell r="D10">
            <v>37.5</v>
          </cell>
        </row>
        <row r="11">
          <cell r="C11">
            <v>39.700000000011642</v>
          </cell>
          <cell r="D11">
            <v>66</v>
          </cell>
        </row>
        <row r="12">
          <cell r="C12">
            <v>19.399999999994179</v>
          </cell>
          <cell r="D12">
            <v>13.299999999999272</v>
          </cell>
        </row>
        <row r="13">
          <cell r="C13">
            <v>30.600000000005821</v>
          </cell>
          <cell r="D13">
            <v>40.6</v>
          </cell>
        </row>
        <row r="14">
          <cell r="C14">
            <v>40.5</v>
          </cell>
          <cell r="D14">
            <v>40.200000000000728</v>
          </cell>
        </row>
        <row r="15">
          <cell r="C15">
            <v>40.100000000005821</v>
          </cell>
          <cell r="D15">
            <v>41.799999999999272</v>
          </cell>
        </row>
        <row r="16">
          <cell r="C16">
            <v>40.799999999988358</v>
          </cell>
          <cell r="D16">
            <v>37.399999999997817</v>
          </cell>
        </row>
        <row r="17">
          <cell r="C17">
            <v>40.799999999988358</v>
          </cell>
          <cell r="D17">
            <v>38.700000000000728</v>
          </cell>
        </row>
        <row r="18">
          <cell r="C18">
            <v>39.900000000023283</v>
          </cell>
          <cell r="D18">
            <v>52.1</v>
          </cell>
        </row>
        <row r="19">
          <cell r="C19">
            <v>14.799999999988358</v>
          </cell>
          <cell r="D19">
            <v>14.200000000000728</v>
          </cell>
        </row>
        <row r="20">
          <cell r="C20">
            <v>31.600000000005821</v>
          </cell>
          <cell r="D20">
            <v>48.5</v>
          </cell>
        </row>
        <row r="21">
          <cell r="C21">
            <v>40.299999999988358</v>
          </cell>
          <cell r="D21">
            <v>41.30000000000291</v>
          </cell>
        </row>
        <row r="22">
          <cell r="C22">
            <v>40.600000000005821</v>
          </cell>
          <cell r="D22">
            <v>40.5</v>
          </cell>
        </row>
        <row r="23">
          <cell r="C23">
            <v>40.899999999994179</v>
          </cell>
          <cell r="D23">
            <v>40.799999999995634</v>
          </cell>
        </row>
        <row r="24">
          <cell r="C24">
            <v>41.600000000005821</v>
          </cell>
          <cell r="D24">
            <v>41.100000000005821</v>
          </cell>
        </row>
        <row r="25">
          <cell r="C25">
            <v>40.799999999988358</v>
          </cell>
          <cell r="D25">
            <v>43.19999999999709</v>
          </cell>
        </row>
        <row r="26">
          <cell r="C26">
            <v>9.3000000000174623</v>
          </cell>
          <cell r="D26">
            <v>10.400000000001455</v>
          </cell>
        </row>
        <row r="27">
          <cell r="C27">
            <v>22.600000000005821</v>
          </cell>
          <cell r="D27">
            <v>21.900000000001455</v>
          </cell>
        </row>
        <row r="28">
          <cell r="C28">
            <v>39.5</v>
          </cell>
          <cell r="D28">
            <v>43.399999999994179</v>
          </cell>
        </row>
        <row r="29">
          <cell r="C29">
            <v>41</v>
          </cell>
          <cell r="D29">
            <v>48.100000000005821</v>
          </cell>
        </row>
        <row r="30">
          <cell r="C30">
            <v>41.899999999994179</v>
          </cell>
          <cell r="D30">
            <v>41.899999999994179</v>
          </cell>
        </row>
        <row r="31">
          <cell r="C31">
            <v>40.899999999994179</v>
          </cell>
          <cell r="D31">
            <v>24.900000000001455</v>
          </cell>
        </row>
        <row r="32">
          <cell r="C32">
            <v>40.399999999994179</v>
          </cell>
          <cell r="D32">
            <v>40.5</v>
          </cell>
        </row>
        <row r="33">
          <cell r="C33">
            <v>5.8999999999941792</v>
          </cell>
          <cell r="D33">
            <v>4.9000000000014552</v>
          </cell>
        </row>
        <row r="34">
          <cell r="C34">
            <v>30.300000000017462</v>
          </cell>
          <cell r="D34">
            <v>31.900000000001455</v>
          </cell>
        </row>
        <row r="35">
          <cell r="C35">
            <v>43</v>
          </cell>
          <cell r="D35">
            <v>57.4</v>
          </cell>
        </row>
      </sheetData>
      <sheetData sheetId="16">
        <row r="4">
          <cell r="A4">
            <v>45901</v>
          </cell>
        </row>
        <row r="5">
          <cell r="A5">
            <v>45902</v>
          </cell>
        </row>
        <row r="6">
          <cell r="A6">
            <v>45903</v>
          </cell>
        </row>
        <row r="7">
          <cell r="A7">
            <v>45904</v>
          </cell>
        </row>
        <row r="8">
          <cell r="A8">
            <v>45905</v>
          </cell>
        </row>
        <row r="9">
          <cell r="A9">
            <v>45906</v>
          </cell>
        </row>
        <row r="10">
          <cell r="A10">
            <v>45907</v>
          </cell>
        </row>
        <row r="11">
          <cell r="A11">
            <v>45908</v>
          </cell>
        </row>
        <row r="12">
          <cell r="A12">
            <v>45909</v>
          </cell>
        </row>
        <row r="13">
          <cell r="A13">
            <v>45910</v>
          </cell>
        </row>
        <row r="14">
          <cell r="A14">
            <v>45911</v>
          </cell>
        </row>
        <row r="15">
          <cell r="A15">
            <v>45912</v>
          </cell>
        </row>
        <row r="16">
          <cell r="A16">
            <v>45913</v>
          </cell>
        </row>
        <row r="17">
          <cell r="A17">
            <v>45914</v>
          </cell>
        </row>
        <row r="18">
          <cell r="A18">
            <v>45915</v>
          </cell>
        </row>
        <row r="19">
          <cell r="A19">
            <v>45916</v>
          </cell>
        </row>
        <row r="20">
          <cell r="A20">
            <v>45917</v>
          </cell>
        </row>
        <row r="21">
          <cell r="A21">
            <v>45918</v>
          </cell>
        </row>
        <row r="22">
          <cell r="A22">
            <v>45919</v>
          </cell>
        </row>
        <row r="23">
          <cell r="A23">
            <v>45920</v>
          </cell>
        </row>
        <row r="24">
          <cell r="A24">
            <v>45921</v>
          </cell>
        </row>
        <row r="25">
          <cell r="A25">
            <v>45922</v>
          </cell>
        </row>
        <row r="26">
          <cell r="A26">
            <v>45923</v>
          </cell>
        </row>
        <row r="27">
          <cell r="A27">
            <v>45924</v>
          </cell>
        </row>
        <row r="28">
          <cell r="A28">
            <v>45925</v>
          </cell>
        </row>
        <row r="29">
          <cell r="A29">
            <v>45926</v>
          </cell>
        </row>
        <row r="30">
          <cell r="A30">
            <v>45927</v>
          </cell>
        </row>
        <row r="31">
          <cell r="A31">
            <v>45928</v>
          </cell>
        </row>
        <row r="32">
          <cell r="A32">
            <v>45929</v>
          </cell>
        </row>
        <row r="33">
          <cell r="A33">
            <v>45930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ค่าน้ำ"/>
      <sheetName val="สรุปกรอกบิลค่าน้ำ"/>
      <sheetName val="ค่าน้ำประปา ส่งบัญชี"/>
      <sheetName val="TABLE DATA"/>
      <sheetName val="TABLE"/>
      <sheetName val="น้ำผลิต"/>
      <sheetName val="TABLE แยกไลน์ผลิต"/>
      <sheetName val="แยกมิเตอร์ใหม่"/>
    </sheetNames>
    <sheetDataSet>
      <sheetData sheetId="0"/>
      <sheetData sheetId="1"/>
      <sheetData sheetId="2"/>
      <sheetData sheetId="3">
        <row r="1">
          <cell r="V1" t="str">
            <v>วันที่</v>
          </cell>
          <cell r="W1" t="str">
            <v>ยอดใช้น้ำ</v>
          </cell>
        </row>
        <row r="2">
          <cell r="V2"/>
        </row>
        <row r="3">
          <cell r="V3">
            <v>45901</v>
          </cell>
          <cell r="W3">
            <v>10</v>
          </cell>
        </row>
        <row r="4">
          <cell r="V4">
            <v>45902</v>
          </cell>
          <cell r="W4">
            <v>21</v>
          </cell>
        </row>
        <row r="5">
          <cell r="V5">
            <v>45903</v>
          </cell>
          <cell r="W5">
            <v>22</v>
          </cell>
        </row>
        <row r="6">
          <cell r="V6">
            <v>45904</v>
          </cell>
          <cell r="W6">
            <v>19</v>
          </cell>
        </row>
        <row r="7">
          <cell r="V7">
            <v>45905</v>
          </cell>
          <cell r="W7">
            <v>21</v>
          </cell>
        </row>
        <row r="8">
          <cell r="V8">
            <v>45906</v>
          </cell>
          <cell r="W8">
            <v>20</v>
          </cell>
        </row>
        <row r="9">
          <cell r="V9">
            <v>45907</v>
          </cell>
          <cell r="W9">
            <v>15</v>
          </cell>
        </row>
        <row r="10">
          <cell r="V10">
            <v>45908</v>
          </cell>
          <cell r="W10">
            <v>8</v>
          </cell>
        </row>
        <row r="11">
          <cell r="V11">
            <v>45909</v>
          </cell>
          <cell r="W11">
            <v>21</v>
          </cell>
        </row>
        <row r="12">
          <cell r="V12">
            <v>45910</v>
          </cell>
          <cell r="W12">
            <v>19</v>
          </cell>
        </row>
        <row r="13">
          <cell r="V13">
            <v>45911</v>
          </cell>
          <cell r="W13">
            <v>19</v>
          </cell>
        </row>
        <row r="14">
          <cell r="V14">
            <v>45912</v>
          </cell>
          <cell r="W14">
            <v>19</v>
          </cell>
        </row>
        <row r="15">
          <cell r="V15">
            <v>45913</v>
          </cell>
          <cell r="W15">
            <v>19</v>
          </cell>
        </row>
        <row r="16">
          <cell r="V16">
            <v>45914</v>
          </cell>
          <cell r="W16">
            <v>13</v>
          </cell>
        </row>
        <row r="17">
          <cell r="V17">
            <v>45915</v>
          </cell>
          <cell r="W17">
            <v>7</v>
          </cell>
        </row>
        <row r="18">
          <cell r="V18">
            <v>45916</v>
          </cell>
          <cell r="W18">
            <v>23</v>
          </cell>
        </row>
        <row r="19">
          <cell r="V19">
            <v>45917</v>
          </cell>
          <cell r="W19">
            <v>21</v>
          </cell>
        </row>
        <row r="20">
          <cell r="V20">
            <v>45918</v>
          </cell>
          <cell r="W20">
            <v>18</v>
          </cell>
        </row>
        <row r="21">
          <cell r="V21">
            <v>45919</v>
          </cell>
          <cell r="W21">
            <v>17</v>
          </cell>
        </row>
        <row r="22">
          <cell r="V22">
            <v>45920</v>
          </cell>
          <cell r="W22">
            <v>18</v>
          </cell>
        </row>
        <row r="23">
          <cell r="V23">
            <v>45921</v>
          </cell>
          <cell r="W23">
            <v>12</v>
          </cell>
        </row>
        <row r="24">
          <cell r="V24">
            <v>45922</v>
          </cell>
          <cell r="W24">
            <v>2</v>
          </cell>
        </row>
        <row r="25">
          <cell r="V25">
            <v>45923</v>
          </cell>
          <cell r="W25">
            <v>15</v>
          </cell>
        </row>
        <row r="26">
          <cell r="V26">
            <v>45924</v>
          </cell>
          <cell r="W26">
            <v>17</v>
          </cell>
        </row>
        <row r="27">
          <cell r="V27">
            <v>45925</v>
          </cell>
          <cell r="W27">
            <v>16</v>
          </cell>
        </row>
        <row r="28">
          <cell r="V28">
            <v>45926</v>
          </cell>
          <cell r="W28">
            <v>17</v>
          </cell>
        </row>
        <row r="29">
          <cell r="V29">
            <v>45927</v>
          </cell>
          <cell r="W29">
            <v>12</v>
          </cell>
        </row>
        <row r="30">
          <cell r="V30">
            <v>45928</v>
          </cell>
          <cell r="W30">
            <v>13</v>
          </cell>
        </row>
        <row r="31">
          <cell r="V31">
            <v>45929</v>
          </cell>
          <cell r="W31">
            <v>3</v>
          </cell>
        </row>
        <row r="32">
          <cell r="V32">
            <v>45930</v>
          </cell>
          <cell r="W32">
            <v>17</v>
          </cell>
        </row>
        <row r="33">
          <cell r="V33">
            <v>45931</v>
          </cell>
          <cell r="W33">
            <v>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ค่าน้ำ"/>
      <sheetName val="สรุปกรอกบิลค่าน้ำ"/>
      <sheetName val="ค่าน้ำประปา ส่งบัญชี"/>
      <sheetName val="TABLE DATA"/>
      <sheetName val="TABLE"/>
      <sheetName val="น้ำผลิต"/>
      <sheetName val="TABLE แยกไลน์ผลิต"/>
      <sheetName val="แยกมิเตอร์ใหม่"/>
    </sheetNames>
    <sheetDataSet>
      <sheetData sheetId="0"/>
      <sheetData sheetId="1"/>
      <sheetData sheetId="2"/>
      <sheetData sheetId="3">
        <row r="1">
          <cell r="V1" t="str">
            <v>วันที่</v>
          </cell>
          <cell r="W1" t="str">
            <v>ยอดใช้น้ำ</v>
          </cell>
        </row>
        <row r="2">
          <cell r="V2"/>
        </row>
        <row r="3">
          <cell r="V3">
            <v>45931</v>
          </cell>
          <cell r="W3">
            <v>19</v>
          </cell>
        </row>
        <row r="4">
          <cell r="V4">
            <v>45932</v>
          </cell>
          <cell r="W4">
            <v>25</v>
          </cell>
        </row>
        <row r="5">
          <cell r="V5">
            <v>45933</v>
          </cell>
          <cell r="W5">
            <v>22</v>
          </cell>
        </row>
        <row r="6">
          <cell r="V6">
            <v>45934</v>
          </cell>
          <cell r="W6">
            <v>19</v>
          </cell>
        </row>
        <row r="7">
          <cell r="V7">
            <v>45935</v>
          </cell>
          <cell r="W7">
            <v>20</v>
          </cell>
        </row>
        <row r="8">
          <cell r="V8">
            <v>45936</v>
          </cell>
          <cell r="W8">
            <v>11</v>
          </cell>
        </row>
        <row r="9">
          <cell r="V9">
            <v>45937</v>
          </cell>
          <cell r="W9">
            <v>23</v>
          </cell>
        </row>
        <row r="10">
          <cell r="V10">
            <v>45938</v>
          </cell>
          <cell r="W10">
            <v>24</v>
          </cell>
        </row>
        <row r="11">
          <cell r="V11">
            <v>45939</v>
          </cell>
          <cell r="W11">
            <v>23</v>
          </cell>
        </row>
        <row r="12">
          <cell r="V12">
            <v>45940</v>
          </cell>
          <cell r="W12">
            <v>26</v>
          </cell>
        </row>
        <row r="13">
          <cell r="V13">
            <v>45941</v>
          </cell>
          <cell r="W13">
            <v>21</v>
          </cell>
        </row>
        <row r="14">
          <cell r="V14">
            <v>45942</v>
          </cell>
          <cell r="W14">
            <v>16</v>
          </cell>
        </row>
        <row r="15">
          <cell r="V15">
            <v>45943</v>
          </cell>
          <cell r="W15">
            <v>0</v>
          </cell>
        </row>
        <row r="16">
          <cell r="V16">
            <v>45944</v>
          </cell>
          <cell r="W16">
            <v>10</v>
          </cell>
        </row>
        <row r="17">
          <cell r="V17">
            <v>45945</v>
          </cell>
          <cell r="W17">
            <v>22</v>
          </cell>
        </row>
        <row r="18">
          <cell r="V18">
            <v>45946</v>
          </cell>
          <cell r="W18">
            <v>21</v>
          </cell>
        </row>
        <row r="19">
          <cell r="V19">
            <v>45947</v>
          </cell>
          <cell r="W19">
            <v>21</v>
          </cell>
        </row>
        <row r="20">
          <cell r="V20">
            <v>45948</v>
          </cell>
          <cell r="W20">
            <v>22</v>
          </cell>
        </row>
        <row r="21">
          <cell r="V21">
            <v>45949</v>
          </cell>
          <cell r="W21">
            <v>10</v>
          </cell>
        </row>
        <row r="22">
          <cell r="V22">
            <v>45950</v>
          </cell>
          <cell r="W22">
            <v>8</v>
          </cell>
        </row>
        <row r="23">
          <cell r="V23">
            <v>45951</v>
          </cell>
          <cell r="W23">
            <v>19</v>
          </cell>
        </row>
        <row r="24">
          <cell r="V24">
            <v>45952</v>
          </cell>
          <cell r="W24">
            <v>17</v>
          </cell>
        </row>
        <row r="25">
          <cell r="V25">
            <v>45953</v>
          </cell>
          <cell r="W25">
            <v>22</v>
          </cell>
        </row>
        <row r="26">
          <cell r="V26">
            <v>45954</v>
          </cell>
          <cell r="W26">
            <v>19</v>
          </cell>
        </row>
        <row r="27">
          <cell r="V27">
            <v>45955</v>
          </cell>
          <cell r="W27">
            <v>22</v>
          </cell>
        </row>
        <row r="28">
          <cell r="V28">
            <v>45956</v>
          </cell>
          <cell r="W28">
            <v>8</v>
          </cell>
        </row>
        <row r="29">
          <cell r="V29">
            <v>45957</v>
          </cell>
          <cell r="W29">
            <v>11</v>
          </cell>
        </row>
        <row r="30">
          <cell r="V30">
            <v>45958</v>
          </cell>
          <cell r="W30">
            <v>19</v>
          </cell>
        </row>
        <row r="31">
          <cell r="V31">
            <v>45959</v>
          </cell>
          <cell r="W31">
            <v>18</v>
          </cell>
        </row>
        <row r="32">
          <cell r="V32">
            <v>45960</v>
          </cell>
          <cell r="W32">
            <v>22</v>
          </cell>
        </row>
        <row r="33">
          <cell r="V33">
            <v>45961</v>
          </cell>
          <cell r="W33">
            <v>21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่งบัญชี"/>
      <sheetName val="แผนเรียกถ่าน"/>
      <sheetName val="Steam Simulation Coal"/>
      <sheetName val="สูตร "/>
      <sheetName val="แนวทางการปรัปความร้อน"/>
      <sheetName val="Mix Coal"/>
      <sheetName val="มิเตอร์น้ำ"/>
      <sheetName val="การใช้ไอ"/>
      <sheetName val="ข้อมูลการลงถ่านหิน"/>
      <sheetName val="การวัดกองถ่านหิน"/>
      <sheetName val="Monitor รายวัน"/>
      <sheetName val="เทียบการใช้ไอต่อผลิต"/>
      <sheetName val="%condent"/>
      <sheetName val="Output"/>
      <sheetName val="LFB-STS-FM-001 R.01 (4)"/>
      <sheetName val="ข้อมูลตัด ถ่านหิน"/>
      <sheetName val="1.บาทต่อการผลิต"/>
      <sheetName val="2.การใช้ถ่านต่อไอน้ำ"/>
      <sheetName val="3.การใช้ไอน้ำต่อผลิต"/>
      <sheetName val="4ราคาถ่านหิน"/>
      <sheetName val="5% OUTPUT"/>
      <sheetName val="6.ต้นทุนถ่านหินผลิตไอน้ำ"/>
      <sheetName val="ค่าน้ำผลิต"/>
      <sheetName val="mornitor"/>
      <sheetName val="%Diff"/>
      <sheetName val="Data"/>
      <sheetName val="Pivot"/>
      <sheetName val="Steam Cost"/>
      <sheetName val="Power Air Cost"/>
      <sheetName val="ถ่านแต่ละชนิ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Y3">
            <v>93</v>
          </cell>
        </row>
        <row r="4">
          <cell r="AY4">
            <v>100</v>
          </cell>
        </row>
        <row r="5">
          <cell r="AY5">
            <v>98</v>
          </cell>
        </row>
        <row r="6">
          <cell r="AY6">
            <v>96</v>
          </cell>
        </row>
        <row r="7">
          <cell r="AY7">
            <v>65</v>
          </cell>
        </row>
        <row r="8">
          <cell r="AY8">
            <v>65</v>
          </cell>
        </row>
        <row r="9">
          <cell r="AY9">
            <v>86</v>
          </cell>
        </row>
        <row r="10">
          <cell r="AY10">
            <v>91</v>
          </cell>
        </row>
        <row r="11">
          <cell r="AY11">
            <v>104</v>
          </cell>
        </row>
        <row r="12">
          <cell r="AY12">
            <v>88</v>
          </cell>
        </row>
        <row r="13">
          <cell r="AY13">
            <v>103</v>
          </cell>
        </row>
        <row r="14">
          <cell r="AY14">
            <v>40</v>
          </cell>
        </row>
        <row r="15">
          <cell r="AY15">
            <v>0</v>
          </cell>
        </row>
        <row r="16">
          <cell r="AY16">
            <v>75</v>
          </cell>
        </row>
        <row r="17">
          <cell r="AY17">
            <v>90</v>
          </cell>
        </row>
        <row r="18">
          <cell r="AY18">
            <v>83</v>
          </cell>
        </row>
        <row r="19">
          <cell r="AY19">
            <v>84</v>
          </cell>
        </row>
        <row r="20">
          <cell r="AY20">
            <v>86</v>
          </cell>
        </row>
        <row r="21">
          <cell r="AY21">
            <v>17</v>
          </cell>
        </row>
        <row r="22">
          <cell r="AY22">
            <v>68</v>
          </cell>
        </row>
        <row r="23">
          <cell r="AY23">
            <v>87</v>
          </cell>
        </row>
        <row r="24">
          <cell r="AY24">
            <v>91</v>
          </cell>
        </row>
        <row r="25">
          <cell r="AY25">
            <v>82</v>
          </cell>
        </row>
        <row r="26">
          <cell r="AY26">
            <v>91</v>
          </cell>
        </row>
        <row r="27">
          <cell r="AY27">
            <v>94</v>
          </cell>
        </row>
        <row r="28">
          <cell r="AY28">
            <v>19</v>
          </cell>
        </row>
        <row r="29">
          <cell r="AY29">
            <v>50</v>
          </cell>
        </row>
        <row r="30">
          <cell r="AY30">
            <v>87</v>
          </cell>
        </row>
        <row r="31">
          <cell r="AY31">
            <v>104</v>
          </cell>
        </row>
        <row r="32">
          <cell r="AY32">
            <v>84</v>
          </cell>
        </row>
        <row r="33">
          <cell r="AY33">
            <v>104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41</v>
          </cell>
          <cell r="D6">
            <v>68.099999999999994</v>
          </cell>
        </row>
        <row r="7">
          <cell r="C7">
            <v>42.899999999994179</v>
          </cell>
          <cell r="D7">
            <v>61.5</v>
          </cell>
        </row>
        <row r="8">
          <cell r="C8">
            <v>41.799999999988358</v>
          </cell>
          <cell r="D8">
            <v>56.1</v>
          </cell>
        </row>
        <row r="9">
          <cell r="C9">
            <v>41</v>
          </cell>
          <cell r="D9">
            <v>63.2</v>
          </cell>
        </row>
        <row r="10">
          <cell r="C10">
            <v>30.400000000023283</v>
          </cell>
          <cell r="D10">
            <v>30.799999999995634</v>
          </cell>
        </row>
        <row r="11">
          <cell r="C11">
            <v>30.399999999994179</v>
          </cell>
          <cell r="D11">
            <v>33.200000000004366</v>
          </cell>
        </row>
        <row r="12">
          <cell r="C12">
            <v>41.100000000005821</v>
          </cell>
          <cell r="D12">
            <v>47.5</v>
          </cell>
        </row>
        <row r="13">
          <cell r="C13">
            <v>42.199999999982538</v>
          </cell>
          <cell r="D13">
            <v>47.19999999999709</v>
          </cell>
        </row>
        <row r="14">
          <cell r="C14">
            <v>42.700000000011642</v>
          </cell>
          <cell r="D14">
            <v>59.1</v>
          </cell>
        </row>
        <row r="15">
          <cell r="C15">
            <v>41.799999999988358</v>
          </cell>
          <cell r="D15">
            <v>44.19999999999709</v>
          </cell>
        </row>
        <row r="16">
          <cell r="C16">
            <v>42.600000000005821</v>
          </cell>
          <cell r="D16">
            <v>59.4</v>
          </cell>
        </row>
        <row r="17">
          <cell r="C17">
            <v>16.799999999988358</v>
          </cell>
          <cell r="D17">
            <v>23.599999999998545</v>
          </cell>
        </row>
        <row r="18">
          <cell r="C18">
            <v>0</v>
          </cell>
          <cell r="D18">
            <v>0</v>
          </cell>
        </row>
        <row r="19">
          <cell r="C19">
            <v>33.100000000005821</v>
          </cell>
          <cell r="D19">
            <v>44.9</v>
          </cell>
        </row>
        <row r="20">
          <cell r="C20">
            <v>41.300000000017462</v>
          </cell>
          <cell r="D20">
            <v>47.19999999999709</v>
          </cell>
        </row>
        <row r="21">
          <cell r="C21">
            <v>41.699999999982538</v>
          </cell>
          <cell r="D21">
            <v>43.099999999998545</v>
          </cell>
        </row>
        <row r="22">
          <cell r="C22">
            <v>41.200000000011642</v>
          </cell>
          <cell r="D22">
            <v>45.900000000001455</v>
          </cell>
        </row>
        <row r="23">
          <cell r="C23">
            <v>41.899999999994179</v>
          </cell>
          <cell r="D23">
            <v>45.400000000001455</v>
          </cell>
        </row>
        <row r="24">
          <cell r="C24">
            <v>9.2999999999883585</v>
          </cell>
          <cell r="D24">
            <v>9.1999999999970896</v>
          </cell>
        </row>
        <row r="25">
          <cell r="C25">
            <v>30</v>
          </cell>
          <cell r="D25">
            <v>34</v>
          </cell>
        </row>
        <row r="26">
          <cell r="C26">
            <v>41.600000000005821</v>
          </cell>
          <cell r="D26">
            <v>51.2</v>
          </cell>
        </row>
        <row r="27">
          <cell r="C27">
            <v>39.5</v>
          </cell>
          <cell r="D27">
            <v>51.69999999999709</v>
          </cell>
        </row>
        <row r="28">
          <cell r="C28">
            <v>43.5</v>
          </cell>
          <cell r="D28">
            <v>31.099999999998545</v>
          </cell>
        </row>
        <row r="29">
          <cell r="C29">
            <v>40.399999999994179</v>
          </cell>
          <cell r="D29">
            <v>51</v>
          </cell>
        </row>
        <row r="30">
          <cell r="C30">
            <v>43.800000000017462</v>
          </cell>
          <cell r="D30">
            <v>45.599999999998545</v>
          </cell>
        </row>
        <row r="31">
          <cell r="C31">
            <v>9.3999999999941792</v>
          </cell>
          <cell r="D31">
            <v>9.9000000000014552</v>
          </cell>
        </row>
        <row r="32">
          <cell r="C32">
            <v>20.700000000011642</v>
          </cell>
          <cell r="D32">
            <v>25.200000000004366</v>
          </cell>
        </row>
        <row r="33">
          <cell r="C33">
            <v>43</v>
          </cell>
          <cell r="D33">
            <v>44.4</v>
          </cell>
        </row>
        <row r="34">
          <cell r="C34">
            <v>43.5</v>
          </cell>
          <cell r="D34">
            <v>64.400000000000006</v>
          </cell>
        </row>
        <row r="35">
          <cell r="C35">
            <v>40.5</v>
          </cell>
          <cell r="D35">
            <v>45.69999999999709</v>
          </cell>
        </row>
        <row r="36">
          <cell r="C36">
            <v>43.299999999988358</v>
          </cell>
          <cell r="D36">
            <v>62.5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ค่าน้ำ"/>
      <sheetName val="สรุปกรอกบิลค่าน้ำ"/>
      <sheetName val="ค่าน้ำประปา ส่งบัญชี"/>
      <sheetName val="TABLE DATA"/>
      <sheetName val="TABLE"/>
      <sheetName val="น้ำผลิต"/>
      <sheetName val="TABLE แยกไลน์ผลิต"/>
      <sheetName val="แยกมิเตอร์ใหม่"/>
    </sheetNames>
    <sheetDataSet>
      <sheetData sheetId="0"/>
      <sheetData sheetId="1"/>
      <sheetData sheetId="2"/>
      <sheetData sheetId="3">
        <row r="1">
          <cell r="V1" t="str">
            <v>วันที่</v>
          </cell>
          <cell r="W1" t="str">
            <v>ยอดใช้น้ำ</v>
          </cell>
        </row>
        <row r="2">
          <cell r="V2"/>
        </row>
        <row r="3">
          <cell r="V3">
            <v>45962</v>
          </cell>
          <cell r="W3">
            <v>22</v>
          </cell>
        </row>
        <row r="4">
          <cell r="V4">
            <v>45963</v>
          </cell>
          <cell r="W4">
            <v>17</v>
          </cell>
        </row>
        <row r="5">
          <cell r="V5">
            <v>45964</v>
          </cell>
          <cell r="W5">
            <v>6</v>
          </cell>
        </row>
        <row r="6">
          <cell r="V6">
            <v>45965</v>
          </cell>
          <cell r="W6">
            <v>18</v>
          </cell>
        </row>
        <row r="7">
          <cell r="V7">
            <v>45966</v>
          </cell>
          <cell r="W7">
            <v>18</v>
          </cell>
        </row>
        <row r="8">
          <cell r="V8">
            <v>45967</v>
          </cell>
          <cell r="W8">
            <v>17</v>
          </cell>
        </row>
        <row r="9">
          <cell r="V9">
            <v>45968</v>
          </cell>
          <cell r="W9">
            <v>16</v>
          </cell>
        </row>
        <row r="10">
          <cell r="V10">
            <v>45969</v>
          </cell>
          <cell r="W10">
            <v>18</v>
          </cell>
        </row>
        <row r="11">
          <cell r="V11">
            <v>45970</v>
          </cell>
          <cell r="W11">
            <v>8</v>
          </cell>
        </row>
        <row r="12">
          <cell r="V12">
            <v>45971</v>
          </cell>
          <cell r="W12">
            <v>16</v>
          </cell>
        </row>
        <row r="13">
          <cell r="V13">
            <v>45972</v>
          </cell>
          <cell r="W13">
            <v>23</v>
          </cell>
        </row>
        <row r="14">
          <cell r="V14">
            <v>45973</v>
          </cell>
          <cell r="W14">
            <v>19</v>
          </cell>
        </row>
        <row r="15">
          <cell r="V15">
            <v>45974</v>
          </cell>
          <cell r="W15">
            <v>16</v>
          </cell>
        </row>
        <row r="16">
          <cell r="V16">
            <v>45975</v>
          </cell>
          <cell r="W16">
            <v>17</v>
          </cell>
        </row>
        <row r="17">
          <cell r="V17">
            <v>45976</v>
          </cell>
          <cell r="W17">
            <v>17</v>
          </cell>
        </row>
        <row r="18">
          <cell r="V18">
            <v>45977</v>
          </cell>
          <cell r="W18">
            <v>16</v>
          </cell>
        </row>
        <row r="19">
          <cell r="V19">
            <v>45978</v>
          </cell>
          <cell r="W19">
            <v>7</v>
          </cell>
        </row>
        <row r="20">
          <cell r="V20">
            <v>45979</v>
          </cell>
          <cell r="W20">
            <v>20</v>
          </cell>
        </row>
        <row r="21">
          <cell r="V21">
            <v>45980</v>
          </cell>
          <cell r="W21">
            <v>17</v>
          </cell>
        </row>
        <row r="22">
          <cell r="V22">
            <v>45981</v>
          </cell>
          <cell r="W22">
            <v>18</v>
          </cell>
        </row>
        <row r="23">
          <cell r="V23">
            <v>45982</v>
          </cell>
          <cell r="W23">
            <v>16</v>
          </cell>
        </row>
        <row r="24">
          <cell r="V24">
            <v>45983</v>
          </cell>
          <cell r="W24">
            <v>24</v>
          </cell>
        </row>
        <row r="25">
          <cell r="V25">
            <v>45984</v>
          </cell>
          <cell r="W25">
            <v>11</v>
          </cell>
        </row>
        <row r="26">
          <cell r="V26">
            <v>45985</v>
          </cell>
          <cell r="W26">
            <v>18</v>
          </cell>
        </row>
        <row r="27">
          <cell r="V27">
            <v>45986</v>
          </cell>
          <cell r="W27">
            <v>12</v>
          </cell>
        </row>
        <row r="28">
          <cell r="V28">
            <v>45987</v>
          </cell>
          <cell r="W28">
            <v>15</v>
          </cell>
        </row>
        <row r="29">
          <cell r="V29">
            <v>45988</v>
          </cell>
          <cell r="W29">
            <v>14</v>
          </cell>
        </row>
        <row r="30">
          <cell r="V30">
            <v>45989</v>
          </cell>
          <cell r="W30">
            <v>15</v>
          </cell>
        </row>
        <row r="31">
          <cell r="V31">
            <v>45990</v>
          </cell>
          <cell r="W31">
            <v>18</v>
          </cell>
        </row>
        <row r="32">
          <cell r="V32">
            <v>45991</v>
          </cell>
          <cell r="W32">
            <v>17</v>
          </cell>
        </row>
        <row r="33">
          <cell r="V33">
            <v>45992</v>
          </cell>
          <cell r="W33">
            <v>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่งบัญชี"/>
      <sheetName val="แผนเรียกถ่าน"/>
      <sheetName val="Steam Simulation Coal"/>
      <sheetName val="สูตร "/>
      <sheetName val="แนวทางการปรัปความร้อน"/>
      <sheetName val="Mix Coal"/>
      <sheetName val="มิเตอร์น้ำ"/>
      <sheetName val="การใช้ไอ"/>
      <sheetName val="ข้อมูลการลงถ่านหิน"/>
      <sheetName val="การวัดกองถ่านหิน"/>
      <sheetName val="Monitor รายวัน"/>
      <sheetName val="เทียบการใช้ไอต่อผลิต"/>
      <sheetName val="%condent"/>
      <sheetName val="Output"/>
      <sheetName val="LFB-STS-FM-001 R.01 (4)"/>
      <sheetName val="ข้อมูลตัด ถ่านหิน"/>
      <sheetName val="1.บาทต่อการผลิต"/>
      <sheetName val="2.การใช้ถ่านต่อไอน้ำ"/>
      <sheetName val="3.การใช้ไอน้ำต่อผลิต"/>
      <sheetName val="4ราคาถ่านหิน"/>
      <sheetName val="5% OUTPUT"/>
      <sheetName val="6.ต้นทุนถ่านหินผลิตไอน้ำ"/>
      <sheetName val="ค่าน้ำผลิต"/>
      <sheetName val="mornitor"/>
      <sheetName val="%Diff"/>
      <sheetName val="Data"/>
      <sheetName val="Pivot"/>
      <sheetName val="Steam Cost"/>
      <sheetName val="Power Air Cost"/>
      <sheetName val="ถ่านแต่ละชนิ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D3">
            <v>91</v>
          </cell>
        </row>
        <row r="4">
          <cell r="BD4">
            <v>60</v>
          </cell>
        </row>
        <row r="5">
          <cell r="BD5">
            <v>68</v>
          </cell>
        </row>
        <row r="6">
          <cell r="BD6">
            <v>97</v>
          </cell>
        </row>
        <row r="7">
          <cell r="BD7">
            <v>84</v>
          </cell>
        </row>
        <row r="8">
          <cell r="BD8">
            <v>85</v>
          </cell>
        </row>
        <row r="9">
          <cell r="BD9">
            <v>88</v>
          </cell>
        </row>
        <row r="10">
          <cell r="BD10">
            <v>93</v>
          </cell>
        </row>
        <row r="11">
          <cell r="BD11">
            <v>54</v>
          </cell>
        </row>
        <row r="12">
          <cell r="BD12">
            <v>99</v>
          </cell>
        </row>
        <row r="13">
          <cell r="BD13">
            <v>87</v>
          </cell>
        </row>
        <row r="14">
          <cell r="BD14">
            <v>85</v>
          </cell>
        </row>
        <row r="15">
          <cell r="BD15">
            <v>98</v>
          </cell>
        </row>
        <row r="16">
          <cell r="BD16">
            <v>102</v>
          </cell>
        </row>
        <row r="17">
          <cell r="BD17">
            <v>90</v>
          </cell>
        </row>
        <row r="18">
          <cell r="BD18">
            <v>59</v>
          </cell>
        </row>
        <row r="19">
          <cell r="BD19">
            <v>67</v>
          </cell>
        </row>
        <row r="20">
          <cell r="BD20">
            <v>96</v>
          </cell>
        </row>
        <row r="21">
          <cell r="BD21">
            <v>90</v>
          </cell>
        </row>
        <row r="22">
          <cell r="BD22">
            <v>93</v>
          </cell>
        </row>
        <row r="23">
          <cell r="BD23">
            <v>92</v>
          </cell>
        </row>
        <row r="24">
          <cell r="BD24">
            <v>94</v>
          </cell>
        </row>
        <row r="25">
          <cell r="BD25">
            <v>56</v>
          </cell>
        </row>
        <row r="26">
          <cell r="BD26">
            <v>88</v>
          </cell>
        </row>
        <row r="27">
          <cell r="BD27">
            <v>101</v>
          </cell>
        </row>
        <row r="28">
          <cell r="BD28">
            <v>105</v>
          </cell>
        </row>
        <row r="29">
          <cell r="BD29">
            <v>102</v>
          </cell>
        </row>
        <row r="30">
          <cell r="BD30">
            <v>104</v>
          </cell>
        </row>
        <row r="31">
          <cell r="BD31">
            <v>102</v>
          </cell>
        </row>
        <row r="32">
          <cell r="BD32">
            <v>101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41.600000000005821</v>
          </cell>
          <cell r="D6">
            <v>47.400000000001455</v>
          </cell>
        </row>
        <row r="7">
          <cell r="C7">
            <v>31.600000000005821</v>
          </cell>
          <cell r="D7">
            <v>26.599999999998545</v>
          </cell>
        </row>
        <row r="8">
          <cell r="C8">
            <v>30.5</v>
          </cell>
          <cell r="D8">
            <v>35.299999999995634</v>
          </cell>
        </row>
        <row r="9">
          <cell r="C9">
            <v>41.399999999994179</v>
          </cell>
          <cell r="D9">
            <v>64.099999999999994</v>
          </cell>
        </row>
        <row r="10">
          <cell r="C10">
            <v>41.199999999982538</v>
          </cell>
          <cell r="D10">
            <v>42.30000000000291</v>
          </cell>
        </row>
        <row r="11">
          <cell r="C11">
            <v>29.100000000005821</v>
          </cell>
          <cell r="D11">
            <v>56.5</v>
          </cell>
        </row>
        <row r="12">
          <cell r="C12">
            <v>38.300000000017462</v>
          </cell>
          <cell r="D12">
            <v>47.799999999995634</v>
          </cell>
        </row>
        <row r="13">
          <cell r="C13">
            <v>40.699999999982538</v>
          </cell>
          <cell r="D13">
            <v>46.80000000000291</v>
          </cell>
        </row>
        <row r="14">
          <cell r="C14">
            <v>21.300000000017462</v>
          </cell>
          <cell r="D14">
            <v>27.19999999999709</v>
          </cell>
        </row>
        <row r="15">
          <cell r="C15">
            <v>41.399999999994179</v>
          </cell>
          <cell r="D15">
            <v>56.7</v>
          </cell>
        </row>
        <row r="16">
          <cell r="C16">
            <v>41.199999999982538</v>
          </cell>
          <cell r="D16">
            <v>44.299999999995634</v>
          </cell>
        </row>
        <row r="17">
          <cell r="C17">
            <v>40</v>
          </cell>
          <cell r="D17">
            <v>46.700000000004366</v>
          </cell>
        </row>
        <row r="18">
          <cell r="C18">
            <v>42.800000000017462</v>
          </cell>
          <cell r="D18">
            <v>56.7</v>
          </cell>
        </row>
        <row r="19">
          <cell r="C19">
            <v>43.600000000005821</v>
          </cell>
          <cell r="D19">
            <v>43.799999999995634</v>
          </cell>
        </row>
        <row r="20">
          <cell r="C20">
            <v>40.899999999994179</v>
          </cell>
          <cell r="D20">
            <v>47.30000000000291</v>
          </cell>
        </row>
        <row r="21">
          <cell r="C21">
            <v>29.699999999982538</v>
          </cell>
          <cell r="D21">
            <v>29.099999999998545</v>
          </cell>
        </row>
        <row r="22">
          <cell r="C22">
            <v>28.400000000023283</v>
          </cell>
          <cell r="D22">
            <v>34.900000000001455</v>
          </cell>
        </row>
        <row r="23">
          <cell r="C23">
            <v>40.599999999976717</v>
          </cell>
          <cell r="D23">
            <v>48.400000000001455</v>
          </cell>
        </row>
        <row r="24">
          <cell r="C24">
            <v>39</v>
          </cell>
          <cell r="D24">
            <v>47.19999999999709</v>
          </cell>
        </row>
        <row r="25">
          <cell r="C25">
            <v>43.600000000005821</v>
          </cell>
          <cell r="D25">
            <v>41.900000000001455</v>
          </cell>
        </row>
        <row r="26">
          <cell r="C26">
            <v>41.899999999994179</v>
          </cell>
          <cell r="D26">
            <v>46.5</v>
          </cell>
        </row>
        <row r="27">
          <cell r="C27">
            <v>43.200000000011642</v>
          </cell>
          <cell r="D27">
            <v>45.099999999998545</v>
          </cell>
        </row>
        <row r="28">
          <cell r="C28">
            <v>26.899999999994179</v>
          </cell>
          <cell r="D28">
            <v>27.599999999998545</v>
          </cell>
        </row>
        <row r="29">
          <cell r="C29">
            <v>41.899999999994179</v>
          </cell>
          <cell r="D29">
            <v>44.30000000000291</v>
          </cell>
        </row>
        <row r="30">
          <cell r="C30">
            <v>41.100000000005821</v>
          </cell>
          <cell r="D30">
            <v>65.900000000000006</v>
          </cell>
        </row>
        <row r="31">
          <cell r="C31">
            <v>43</v>
          </cell>
          <cell r="D31">
            <v>67.7</v>
          </cell>
        </row>
        <row r="32">
          <cell r="C32">
            <v>43.300000000017462</v>
          </cell>
          <cell r="D32">
            <v>60.6</v>
          </cell>
        </row>
        <row r="33">
          <cell r="C33">
            <v>43.099999999976717</v>
          </cell>
          <cell r="D33">
            <v>65.2</v>
          </cell>
        </row>
        <row r="34">
          <cell r="C34">
            <v>44.5</v>
          </cell>
          <cell r="D34">
            <v>58.6</v>
          </cell>
        </row>
        <row r="35">
          <cell r="C35">
            <v>42.100000000005821</v>
          </cell>
          <cell r="D35">
            <v>51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ค่าน้ำ"/>
      <sheetName val="สรุปกรอกบิลค่าน้ำ"/>
      <sheetName val="ค่าน้ำประปา ส่งบัญชี"/>
      <sheetName val="TABLE DATA"/>
      <sheetName val="TABLE"/>
      <sheetName val="น้ำผลิต"/>
      <sheetName val="TABLE แยกไลน์ผลิต"/>
      <sheetName val="แยกมิเตอร์ใหม่"/>
    </sheetNames>
    <sheetDataSet>
      <sheetData sheetId="0"/>
      <sheetData sheetId="1"/>
      <sheetData sheetId="2"/>
      <sheetData sheetId="3">
        <row r="1">
          <cell r="V1" t="str">
            <v>วันที่</v>
          </cell>
          <cell r="W1" t="str">
            <v>ยอดใช้น้ำ</v>
          </cell>
        </row>
        <row r="2">
          <cell r="V2"/>
        </row>
        <row r="3">
          <cell r="V3">
            <v>45992</v>
          </cell>
          <cell r="W3">
            <v>15</v>
          </cell>
        </row>
        <row r="4">
          <cell r="V4">
            <v>45993</v>
          </cell>
          <cell r="W4">
            <v>20</v>
          </cell>
        </row>
        <row r="5">
          <cell r="V5">
            <v>45994</v>
          </cell>
          <cell r="W5">
            <v>20</v>
          </cell>
        </row>
        <row r="6">
          <cell r="V6">
            <v>45995</v>
          </cell>
          <cell r="W6">
            <v>20</v>
          </cell>
        </row>
        <row r="7">
          <cell r="V7">
            <v>45996</v>
          </cell>
          <cell r="W7">
            <v>19</v>
          </cell>
        </row>
        <row r="8">
          <cell r="V8">
            <v>45997</v>
          </cell>
          <cell r="W8">
            <v>18</v>
          </cell>
        </row>
        <row r="9">
          <cell r="V9">
            <v>45998</v>
          </cell>
          <cell r="W9">
            <v>9</v>
          </cell>
        </row>
        <row r="10">
          <cell r="V10">
            <v>45999</v>
          </cell>
          <cell r="W10">
            <v>15</v>
          </cell>
        </row>
        <row r="11">
          <cell r="V11">
            <v>46000</v>
          </cell>
          <cell r="W11">
            <v>19</v>
          </cell>
        </row>
        <row r="12">
          <cell r="V12">
            <v>46001</v>
          </cell>
          <cell r="W12">
            <v>15</v>
          </cell>
        </row>
        <row r="13">
          <cell r="V13">
            <v>46002</v>
          </cell>
          <cell r="W13">
            <v>14</v>
          </cell>
        </row>
        <row r="14">
          <cell r="V14">
            <v>46003</v>
          </cell>
          <cell r="W14">
            <v>12</v>
          </cell>
        </row>
        <row r="15">
          <cell r="V15">
            <v>46004</v>
          </cell>
          <cell r="W15">
            <v>19</v>
          </cell>
        </row>
        <row r="16">
          <cell r="V16">
            <v>46005</v>
          </cell>
          <cell r="W16">
            <v>20</v>
          </cell>
        </row>
        <row r="17">
          <cell r="V17">
            <v>46006</v>
          </cell>
          <cell r="W17">
            <v>21</v>
          </cell>
        </row>
        <row r="18">
          <cell r="V18">
            <v>46007</v>
          </cell>
          <cell r="W18">
            <v>16</v>
          </cell>
        </row>
        <row r="19">
          <cell r="V19">
            <v>46008</v>
          </cell>
          <cell r="W19">
            <v>20</v>
          </cell>
        </row>
        <row r="20">
          <cell r="V20">
            <v>46009</v>
          </cell>
          <cell r="W20">
            <v>25</v>
          </cell>
        </row>
        <row r="21">
          <cell r="V21">
            <v>46010</v>
          </cell>
          <cell r="W21">
            <v>21</v>
          </cell>
        </row>
        <row r="22">
          <cell r="V22">
            <v>46011</v>
          </cell>
          <cell r="W22">
            <v>18</v>
          </cell>
        </row>
        <row r="23">
          <cell r="V23">
            <v>46012</v>
          </cell>
          <cell r="W23">
            <v>15</v>
          </cell>
        </row>
        <row r="24">
          <cell r="V24">
            <v>46013</v>
          </cell>
          <cell r="W24">
            <v>6</v>
          </cell>
        </row>
        <row r="25">
          <cell r="V25">
            <v>46014</v>
          </cell>
          <cell r="W25">
            <v>14</v>
          </cell>
        </row>
        <row r="26">
          <cell r="V26">
            <v>46015</v>
          </cell>
          <cell r="W26">
            <v>12</v>
          </cell>
        </row>
        <row r="27">
          <cell r="V27">
            <v>46016</v>
          </cell>
          <cell r="W27">
            <v>13</v>
          </cell>
        </row>
        <row r="28">
          <cell r="V28">
            <v>46017</v>
          </cell>
          <cell r="W28">
            <v>-45443</v>
          </cell>
        </row>
        <row r="29">
          <cell r="V29">
            <v>46018</v>
          </cell>
          <cell r="W29">
            <v>0</v>
          </cell>
        </row>
        <row r="30">
          <cell r="V30">
            <v>46019</v>
          </cell>
          <cell r="W30">
            <v>0</v>
          </cell>
        </row>
        <row r="31">
          <cell r="V31">
            <v>46020</v>
          </cell>
          <cell r="W31">
            <v>0</v>
          </cell>
        </row>
        <row r="32">
          <cell r="V32">
            <v>46021</v>
          </cell>
          <cell r="W32">
            <v>0</v>
          </cell>
        </row>
        <row r="33">
          <cell r="V33">
            <v>46022</v>
          </cell>
          <cell r="W33">
            <v>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่งบัญชี"/>
      <sheetName val="แผนเรียกถ่าน"/>
      <sheetName val="Steam Simulation Coal"/>
      <sheetName val="สูตร "/>
      <sheetName val="แนวทางการปรัปความร้อน"/>
      <sheetName val="Mix Coal"/>
      <sheetName val="มิเตอร์น้ำ"/>
      <sheetName val="การใช้ไอ"/>
      <sheetName val="ข้อมูลการลงถ่านหิน"/>
      <sheetName val="การวัดกองถ่านหิน"/>
      <sheetName val="Monitor รายวัน"/>
      <sheetName val="เทียบการใช้ไอต่อผลิต"/>
      <sheetName val="%condent"/>
      <sheetName val="Output"/>
      <sheetName val="LFB-STS-FM-001 R.01 (4)"/>
      <sheetName val="ข้อมูลตัด ถ่านหิน"/>
      <sheetName val="1.บาทต่อการผลิต"/>
      <sheetName val="2.การใช้ถ่านต่อไอน้ำ"/>
      <sheetName val="3.การใช้ไอน้ำต่อผลิต"/>
      <sheetName val="4ราคาถ่านหิน"/>
      <sheetName val="5% OUTPUT"/>
      <sheetName val="6.ต้นทุนถ่านหินผลิตไอน้ำ"/>
      <sheetName val="ค่าน้ำผลิต"/>
      <sheetName val="mornitor"/>
      <sheetName val="%Diff"/>
      <sheetName val="Data"/>
      <sheetName val="Pivot"/>
      <sheetName val="Steam Cost"/>
      <sheetName val="Power Air Cost"/>
      <sheetName val="ถ่านแต่ละชนิ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I3">
            <v>89</v>
          </cell>
        </row>
        <row r="4">
          <cell r="BI4">
            <v>103</v>
          </cell>
        </row>
        <row r="5">
          <cell r="BI5">
            <v>101</v>
          </cell>
        </row>
        <row r="6">
          <cell r="BI6">
            <v>107</v>
          </cell>
        </row>
        <row r="7">
          <cell r="BI7">
            <v>107</v>
          </cell>
        </row>
        <row r="8">
          <cell r="BI8">
            <v>102</v>
          </cell>
        </row>
        <row r="9">
          <cell r="BI9">
            <v>52</v>
          </cell>
        </row>
        <row r="10">
          <cell r="BI10">
            <v>106</v>
          </cell>
        </row>
        <row r="11">
          <cell r="BI11">
            <v>104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40.800000000017462</v>
          </cell>
          <cell r="D6">
            <v>46.80000000000291</v>
          </cell>
        </row>
        <row r="7">
          <cell r="C7">
            <v>42.5</v>
          </cell>
          <cell r="D7">
            <v>64.599999999999994</v>
          </cell>
        </row>
        <row r="8">
          <cell r="C8">
            <v>43</v>
          </cell>
          <cell r="D8">
            <v>64.7</v>
          </cell>
        </row>
        <row r="9">
          <cell r="C9">
            <v>44.199999999982538</v>
          </cell>
          <cell r="D9">
            <v>62.1</v>
          </cell>
        </row>
        <row r="10">
          <cell r="C10">
            <v>43</v>
          </cell>
          <cell r="D10">
            <v>65.3</v>
          </cell>
        </row>
        <row r="11">
          <cell r="C11">
            <v>42.399999999994179</v>
          </cell>
          <cell r="D11">
            <v>66.3</v>
          </cell>
        </row>
        <row r="12">
          <cell r="C12">
            <v>22.400000000023283</v>
          </cell>
          <cell r="D12">
            <v>23.69999999999709</v>
          </cell>
        </row>
        <row r="13">
          <cell r="C13">
            <v>42.799999999988358</v>
          </cell>
          <cell r="D13">
            <v>63.8</v>
          </cell>
        </row>
        <row r="14">
          <cell r="C14">
            <v>43.200000000011642</v>
          </cell>
          <cell r="D14">
            <v>61.1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b.boiler" refreshedDate="45999.357982986112" createdVersion="6" refreshedVersion="6" minRefreshableVersion="3" recordCount="98">
  <cacheSource type="worksheet">
    <worksheetSource name="Condensate"/>
  </cacheSource>
  <cacheFields count="16">
    <cacheField name="วันที่" numFmtId="187">
      <sharedItems containsSemiMixedTypes="0" containsNonDate="0" containsDate="1" containsString="0" minDate="2025-09-01T00:00:00" maxDate="2025-12-08T00:00:00" count="98"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</sharedItems>
    </cacheField>
    <cacheField name="Soft Mark Up" numFmtId="0">
      <sharedItems containsSemiMixedTypes="0" containsString="0" containsNumber="1" containsInteger="1" minValue="0" maxValue="26"/>
    </cacheField>
    <cacheField name="มิเตอร์น้ำ Boiler" numFmtId="0">
      <sharedItems containsSemiMixedTypes="0" containsString="0" containsNumber="1" containsInteger="1" minValue="0" maxValue="106"/>
    </cacheField>
    <cacheField name="น้ำ CONDENSATE กลับ" numFmtId="0">
      <sharedItems containsSemiMixedTypes="0" containsString="0" containsNumber="1" containsInteger="1" minValue="-2" maxValue="90"/>
    </cacheField>
    <cacheField name="Target" numFmtId="9">
      <sharedItems containsSemiMixedTypes="0" containsString="0" containsNumber="1" minValue="0.8" maxValue="0.8"/>
    </cacheField>
    <cacheField name="%  condensate " numFmtId="9">
      <sharedItems containsSemiMixedTypes="0" containsString="0" containsNumber="1" minValue="-0.18518518518526003" maxValue="1.7136659436001103"/>
    </cacheField>
    <cacheField name="%DIFF" numFmtId="9">
      <sharedItems containsSemiMixedTypes="0" containsString="0" containsNumber="1" minValue="-1.2314814814815751" maxValue="1.1420824295001377"/>
    </cacheField>
    <cacheField name="CON Return bhs" numFmtId="2">
      <sharedItems containsSemiMixedTypes="0" containsString="0" containsNumber="1" minValue="-1.0727272727262145" maxValue="40.5"/>
    </cacheField>
    <cacheField name="condensate bhs%" numFmtId="9">
      <sharedItems containsSemiMixedTypes="0" containsString="0" containsNumber="1" minValue="-0.18181818181818182" maxValue="0.95833333333333337"/>
    </cacheField>
    <cacheField name="CON Return yueli" numFmtId="2">
      <sharedItems containsSemiMixedTypes="0" containsString="0" containsNumber="1" minValue="-0.89090909090935544" maxValue="58.070297029702971"/>
    </cacheField>
    <cacheField name="condensate yueli%" numFmtId="9">
      <sharedItems containsSemiMixedTypes="0" containsString="0" containsNumber="1" minValue="-0.1818181818181818" maxValue="0.95833333333333326"/>
    </cacheField>
    <cacheField name="ยอดการใช้ Steam BHS" numFmtId="0">
      <sharedItems containsSemiMixedTypes="0" containsString="0" containsNumber="1" minValue="0" maxValue="48"/>
    </cacheField>
    <cacheField name="ยอดการใช้ Steam YUELI" numFmtId="0">
      <sharedItems containsSemiMixedTypes="0" containsString="0" containsNumber="1" minValue="0" maxValue="68.099999999999994"/>
    </cacheField>
    <cacheField name="ยอดการใช้ Steam BHS%" numFmtId="9">
      <sharedItems containsSemiMixedTypes="0" containsString="0" containsNumber="1" minValue="0" maxValue="0.63745019920319346"/>
    </cacheField>
    <cacheField name="ยอดการใช้ Steam YUELI%" numFmtId="9">
      <sharedItems containsSemiMixedTypes="0" containsString="0" containsNumber="1" minValue="0" maxValue="0.66004672897191763"/>
    </cacheField>
    <cacheField name="รวมยอดใช้สตีม" numFmtId="0">
      <sharedItems containsSemiMixedTypes="0" containsString="0" containsNumber="1" minValue="0" maxValue="110.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">
  <r>
    <x v="0"/>
    <n v="10"/>
    <n v="64"/>
    <n v="54"/>
    <n v="0.8"/>
    <n v="0.71713147410359257"/>
    <n v="-0.10358565737050933"/>
    <n v="40.5"/>
    <n v="0.84375"/>
    <n v="23.034374999999386"/>
    <n v="0.84375"/>
    <n v="48"/>
    <n v="27.299999999999272"/>
    <n v="0.63745019920319346"/>
    <n v="0.36254980079680654"/>
    <n v="75.299999999999272"/>
  </r>
  <r>
    <x v="1"/>
    <n v="21"/>
    <n v="91"/>
    <n v="70"/>
    <n v="0.8"/>
    <n v="0.89058524173042009"/>
    <n v="0.11323155216302505"/>
    <n v="32.1538461538372"/>
    <n v="0.76923076923076927"/>
    <n v="28.307692307691749"/>
    <n v="0.76923076923076927"/>
    <n v="41.799999999988358"/>
    <n v="36.799999999999272"/>
    <n v="0.53180661577601696"/>
    <n v="0.46819338422398304"/>
    <n v="78.599999999987631"/>
  </r>
  <r>
    <x v="2"/>
    <n v="22"/>
    <n v="87"/>
    <n v="65"/>
    <n v="0.8"/>
    <n v="0.82070707070706317"/>
    <n v="2.5883838383828905E-2"/>
    <n v="30.258620689655171"/>
    <n v="0.74712643678160917"/>
    <n v="28.913793103448821"/>
    <n v="0.74712643678160928"/>
    <n v="40.5"/>
    <n v="38.700000000000728"/>
    <n v="0.51136363636363169"/>
    <n v="0.48863636363636836"/>
    <n v="79.200000000000728"/>
  </r>
  <r>
    <x v="3"/>
    <n v="19"/>
    <n v="101"/>
    <n v="82"/>
    <n v="0.8"/>
    <n v="0.81836327345314142"/>
    <n v="2.2954091816426714E-2"/>
    <n v="32.799999999995272"/>
    <n v="0.81188118811881183"/>
    <n v="48.550495049504946"/>
    <n v="0.81188118811881183"/>
    <n v="40.399999999994179"/>
    <n v="59.8"/>
    <n v="0.40319361277441645"/>
    <n v="0.59680638722558355"/>
    <n v="100.19999999999418"/>
  </r>
  <r>
    <x v="4"/>
    <n v="21"/>
    <n v="86"/>
    <n v="65"/>
    <n v="0.8"/>
    <n v="0.83226632522400967"/>
    <n v="4.0332906530012036E-2"/>
    <n v="30.686046511632306"/>
    <n v="0.7558139534883721"/>
    <n v="28.343023255813954"/>
    <n v="0.7558139534883721"/>
    <n v="40.600000000005821"/>
    <n v="37.5"/>
    <n v="0.51984635083230213"/>
    <n v="0.48015364916769793"/>
    <n v="78.100000000005821"/>
  </r>
  <r>
    <x v="5"/>
    <n v="20"/>
    <n v="106"/>
    <n v="86"/>
    <n v="0.8"/>
    <n v="0.81362346262999552"/>
    <n v="1.7029328287494344E-2"/>
    <n v="32.209433962273593"/>
    <n v="0.81132075471698106"/>
    <n v="53.547169811320757"/>
    <n v="0.81132075471698117"/>
    <n v="39.700000000011642"/>
    <n v="66"/>
    <n v="0.37559129612116621"/>
    <n v="0.62440870387883374"/>
    <n v="105.70000000001164"/>
  </r>
  <r>
    <x v="6"/>
    <n v="15"/>
    <n v="36"/>
    <n v="21"/>
    <n v="0.8"/>
    <n v="0.64220183486251392"/>
    <n v="-0.19724770642185765"/>
    <n v="11.316666666663272"/>
    <n v="0.58333333333333337"/>
    <n v="7.7583333333329092"/>
    <n v="0.58333333333333337"/>
    <n v="19.399999999994179"/>
    <n v="13.299999999999272"/>
    <n v="0.59327217125376341"/>
    <n v="0.40672782874623659"/>
    <n v="32.699999999993452"/>
  </r>
  <r>
    <x v="7"/>
    <n v="8"/>
    <n v="82"/>
    <n v="74"/>
    <n v="0.8"/>
    <n v="1.0393258426965444"/>
    <n v="0.29915730337068042"/>
    <n v="27.614634146346717"/>
    <n v="0.90243902439024393"/>
    <n v="36.639024390243904"/>
    <n v="0.90243902439024393"/>
    <n v="30.600000000005821"/>
    <n v="40.6"/>
    <n v="0.42977528089892303"/>
    <n v="0.57022471910107708"/>
    <n v="71.200000000005815"/>
  </r>
  <r>
    <x v="8"/>
    <n v="21"/>
    <n v="90"/>
    <n v="69"/>
    <n v="0.8"/>
    <n v="0.85501858736058711"/>
    <n v="6.8773234200733835E-2"/>
    <n v="31.05"/>
    <n v="0.76666666666666672"/>
    <n v="30.820000000000558"/>
    <n v="0.76666666666666672"/>
    <n v="40.5"/>
    <n v="40.200000000000728"/>
    <n v="0.50185873605947506"/>
    <n v="0.49814126394052494"/>
    <n v="80.700000000000728"/>
  </r>
  <r>
    <x v="9"/>
    <n v="19"/>
    <n v="89"/>
    <n v="70"/>
    <n v="0.8"/>
    <n v="0.85470085470080159"/>
    <n v="6.8376068376001936E-2"/>
    <n v="31.539325842701206"/>
    <n v="0.78651685393258419"/>
    <n v="32.876404494381447"/>
    <n v="0.78651685393258419"/>
    <n v="40.100000000005821"/>
    <n v="41.799999999999272"/>
    <n v="0.48962148962153024"/>
    <n v="0.51037851037846982"/>
    <n v="81.900000000005093"/>
  </r>
  <r>
    <x v="10"/>
    <n v="19"/>
    <n v="86"/>
    <n v="67"/>
    <n v="0.8"/>
    <n v="0.85677749360628952"/>
    <n v="7.0971867007861844E-2"/>
    <n v="31.786046511618839"/>
    <n v="0.77906976744186052"/>
    <n v="29.137209302323882"/>
    <n v="0.77906976744186052"/>
    <n v="40.799999999988358"/>
    <n v="37.399999999997817"/>
    <n v="0.52173913043472597"/>
    <n v="0.47826086956527403"/>
    <n v="78.199999999986176"/>
  </r>
  <r>
    <x v="11"/>
    <n v="19"/>
    <n v="86"/>
    <n v="67"/>
    <n v="0.8"/>
    <n v="0.8427672955976"/>
    <n v="5.3459119496999941E-2"/>
    <n v="31.786046511618839"/>
    <n v="0.77906976744186052"/>
    <n v="30.150000000000567"/>
    <n v="0.77906976744186052"/>
    <n v="40.799999999988358"/>
    <n v="38.700000000000728"/>
    <n v="0.51320754716973527"/>
    <n v="0.48679245283026468"/>
    <n v="79.499999999989086"/>
  </r>
  <r>
    <x v="12"/>
    <n v="19"/>
    <n v="100"/>
    <n v="81"/>
    <n v="0.8"/>
    <n v="0.88043478260847285"/>
    <n v="0.10054347826059101"/>
    <n v="32.31900000001886"/>
    <n v="0.81"/>
    <n v="42.201000000000001"/>
    <n v="0.80999999999999994"/>
    <n v="39.900000000023283"/>
    <n v="52.1"/>
    <n v="0.43369565217405637"/>
    <n v="0.56630434782594374"/>
    <n v="92.000000000023277"/>
  </r>
  <r>
    <x v="13"/>
    <n v="13"/>
    <n v="28"/>
    <n v="15"/>
    <n v="0.8"/>
    <n v="0.51724137931053948"/>
    <n v="-0.3534482758618257"/>
    <n v="7.928571428565192"/>
    <n v="0.5357142857142857"/>
    <n v="7.6071428571432467"/>
    <n v="0.5357142857142857"/>
    <n v="14.799999999988358"/>
    <n v="14.200000000000728"/>
    <n v="0.51034482758599753"/>
    <n v="0.48965517241400247"/>
    <n v="28.999999999989086"/>
  </r>
  <r>
    <x v="14"/>
    <n v="7"/>
    <n v="84"/>
    <n v="77"/>
    <n v="0.8"/>
    <n v="0.96129837702864429"/>
    <n v="0.20162297128580531"/>
    <n v="28.966666666672001"/>
    <n v="0.91666666666666663"/>
    <n v="44.458333333333336"/>
    <n v="0.91666666666666674"/>
    <n v="31.600000000005821"/>
    <n v="48.5"/>
    <n v="0.39450686641702276"/>
    <n v="0.60549313358297718"/>
    <n v="80.100000000005821"/>
  </r>
  <r>
    <x v="15"/>
    <n v="23"/>
    <n v="89"/>
    <n v="66"/>
    <n v="0.8"/>
    <n v="0.80882352941185121"/>
    <n v="1.1029411764813951E-2"/>
    <n v="29.885393258418333"/>
    <n v="0.7415730337078652"/>
    <n v="30.626966292136991"/>
    <n v="0.7415730337078652"/>
    <n v="40.299999999988358"/>
    <n v="41.30000000000291"/>
    <n v="0.49387254901951799"/>
    <n v="0.50612745098048206"/>
    <n v="81.599999999991269"/>
  </r>
  <r>
    <x v="16"/>
    <n v="21"/>
    <n v="84"/>
    <n v="63"/>
    <n v="0.8"/>
    <n v="0.77681874229340908"/>
    <n v="-2.8976572133238704E-2"/>
    <n v="30.450000000004366"/>
    <n v="0.75"/>
    <n v="30.375"/>
    <n v="0.75"/>
    <n v="40.600000000005821"/>
    <n v="40.5"/>
    <n v="0.50061652281137992"/>
    <n v="0.49938347718862014"/>
    <n v="81.100000000005821"/>
  </r>
  <r>
    <x v="17"/>
    <n v="18"/>
    <n v="89"/>
    <n v="71"/>
    <n v="0.8"/>
    <n v="0.86903304773572643"/>
    <n v="8.6291309669657978E-2"/>
    <n v="32.628089887635809"/>
    <n v="0.79775280898876411"/>
    <n v="32.548314606738089"/>
    <n v="0.797752808988764"/>
    <n v="40.899999999994179"/>
    <n v="40.799999999995634"/>
    <n v="0.50061199510403032"/>
    <n v="0.49938800489596963"/>
    <n v="81.699999999989814"/>
  </r>
  <r>
    <x v="18"/>
    <n v="17"/>
    <n v="88"/>
    <n v="71"/>
    <n v="0.8"/>
    <n v="0.85852478839165669"/>
    <n v="7.3155985489570807E-2"/>
    <n v="33.563636363641059"/>
    <n v="0.80681818181818177"/>
    <n v="33.160227272731966"/>
    <n v="0.80681818181818177"/>
    <n v="41.600000000005821"/>
    <n v="41.100000000005821"/>
    <n v="0.50302297460701295"/>
    <n v="0.4969770253929871"/>
    <n v="82.700000000011642"/>
  </r>
  <r>
    <x v="19"/>
    <n v="18"/>
    <n v="86"/>
    <n v="68"/>
    <n v="0.8"/>
    <n v="0.80952380952394976"/>
    <n v="1.1904761904937139E-2"/>
    <n v="32.260465116269863"/>
    <n v="0.79069767441860461"/>
    <n v="34.158139534881421"/>
    <n v="0.79069767441860472"/>
    <n v="40.799999999988358"/>
    <n v="43.19999999999709"/>
    <n v="0.48571428571423125"/>
    <n v="0.51428571428576875"/>
    <n v="83.999999999985448"/>
  </r>
  <r>
    <x v="20"/>
    <n v="12"/>
    <n v="17"/>
    <n v="5"/>
    <n v="0.8"/>
    <n v="0.25380710659874106"/>
    <n v="-0.68274111675157378"/>
    <n v="2.7352941176521948"/>
    <n v="0.29411764705882354"/>
    <n v="3.0588235294121926"/>
    <n v="0.29411764705882354"/>
    <n v="9.3000000000174623"/>
    <n v="10.400000000001455"/>
    <n v="0.47208121827454474"/>
    <n v="0.52791878172545526"/>
    <n v="19.700000000018917"/>
  </r>
  <r>
    <x v="21"/>
    <n v="2"/>
    <n v="48"/>
    <n v="46"/>
    <n v="0.8"/>
    <n v="1.0337078651683702"/>
    <n v="0.29213483146046271"/>
    <n v="21.658333333338913"/>
    <n v="0.95833333333333337"/>
    <n v="20.987500000001393"/>
    <n v="0.95833333333333326"/>
    <n v="22.600000000005821"/>
    <n v="21.900000000001455"/>
    <n v="0.50786516853937369"/>
    <n v="0.49213483146062637"/>
    <n v="44.500000000007276"/>
  </r>
  <r>
    <x v="22"/>
    <n v="15"/>
    <n v="84"/>
    <n v="69"/>
    <n v="0.8"/>
    <n v="0.83232810615204877"/>
    <n v="4.0410132690060913E-2"/>
    <n v="32.446428571428569"/>
    <n v="0.8214285714285714"/>
    <n v="35.649999999995217"/>
    <n v="0.8214285714285714"/>
    <n v="39.5"/>
    <n v="43.399999999994179"/>
    <n v="0.47647768395660761"/>
    <n v="0.52352231604339239"/>
    <n v="82.899999999994179"/>
  </r>
  <r>
    <x v="23"/>
    <n v="17"/>
    <n v="90"/>
    <n v="73"/>
    <n v="0.8"/>
    <n v="0.81930415263743239"/>
    <n v="2.4130190796790435E-2"/>
    <n v="33.255555555555553"/>
    <n v="0.81111111111111101"/>
    <n v="39.014444444449168"/>
    <n v="0.81111111111111112"/>
    <n v="41"/>
    <n v="48.100000000005821"/>
    <n v="0.46015712682376347"/>
    <n v="0.53984287317623658"/>
    <n v="89.100000000005821"/>
  </r>
  <r>
    <x v="24"/>
    <n v="16"/>
    <n v="86"/>
    <n v="70"/>
    <n v="0.8"/>
    <n v="0.83532219570417332"/>
    <n v="4.4152744630216595E-2"/>
    <n v="34.104651162785963"/>
    <n v="0.81395348837209314"/>
    <n v="34.104651162785963"/>
    <n v="0.81395348837209314"/>
    <n v="41.899999999994179"/>
    <n v="41.899999999994179"/>
    <n v="0.5"/>
    <n v="0.5"/>
    <n v="83.799999999988358"/>
  </r>
  <r>
    <x v="25"/>
    <n v="17"/>
    <n v="68"/>
    <n v="51"/>
    <n v="0.8"/>
    <n v="0.77507598784199672"/>
    <n v="-3.115501519750416E-2"/>
    <n v="30.674999999995634"/>
    <n v="0.75"/>
    <n v="18.675000000001091"/>
    <n v="0.75"/>
    <n v="40.899999999994179"/>
    <n v="24.900000000001455"/>
    <n v="0.62158054711241473"/>
    <n v="0.37841945288758522"/>
    <n v="65.799999999995634"/>
  </r>
  <r>
    <x v="26"/>
    <n v="12"/>
    <n v="81"/>
    <n v="69"/>
    <n v="0.8"/>
    <n v="0.85290482076643959"/>
    <n v="6.6131025958049428E-2"/>
    <n v="34.414814814809858"/>
    <n v="0.85185185185185186"/>
    <n v="34.5"/>
    <n v="0.85185185185185186"/>
    <n v="40.399999999994179"/>
    <n v="40.5"/>
    <n v="0.49938195302839411"/>
    <n v="0.50061804697160595"/>
    <n v="80.899999999994179"/>
  </r>
  <r>
    <x v="27"/>
    <n v="13"/>
    <n v="11"/>
    <n v="-2"/>
    <n v="0.8"/>
    <n v="-0.18518518518526003"/>
    <n v="-1.2314814814815751"/>
    <n v="-1.0727272727262145"/>
    <n v="-0.18181818181818182"/>
    <n v="-0.89090909090935544"/>
    <n v="-0.1818181818181818"/>
    <n v="5.8999999999941792"/>
    <n v="4.9000000000014552"/>
    <n v="0.5462962962959782"/>
    <n v="0.45370370370402185"/>
    <n v="10.799999999995634"/>
  </r>
  <r>
    <x v="28"/>
    <n v="3"/>
    <n v="63"/>
    <n v="60"/>
    <n v="0.8"/>
    <n v="0.96463022508009244"/>
    <n v="0.2057877813501155"/>
    <n v="28.857142857159488"/>
    <n v="0.95238095238095233"/>
    <n v="30.380952380953765"/>
    <n v="0.95238095238095233"/>
    <n v="30.300000000017462"/>
    <n v="31.900000000001455"/>
    <n v="0.48713826366572749"/>
    <n v="0.51286173633427257"/>
    <n v="62.200000000018917"/>
  </r>
  <r>
    <x v="29"/>
    <n v="17"/>
    <n v="93"/>
    <n v="76"/>
    <n v="0.8"/>
    <n v="0.75697211155378485"/>
    <n v="-5.3784860557768981E-2"/>
    <n v="35.13978494623656"/>
    <n v="0.81720430107526887"/>
    <n v="46.907526881720429"/>
    <n v="0.81720430107526887"/>
    <n v="43"/>
    <n v="57.4"/>
    <n v="0.42828685258964144"/>
    <n v="0.5717131474103585"/>
    <n v="100.4"/>
  </r>
  <r>
    <x v="30"/>
    <n v="19"/>
    <n v="93"/>
    <n v="74"/>
    <n v="0.8"/>
    <n v="0.67827681026581121"/>
    <n v="-0.15215398716773604"/>
    <n v="32.623655913978496"/>
    <n v="0.79569892473118287"/>
    <n v="54.187096774193542"/>
    <n v="0.79569892473118276"/>
    <n v="41"/>
    <n v="68.099999999999994"/>
    <n v="0.37580201649862516"/>
    <n v="0.62419798350137479"/>
    <n v="109.1"/>
  </r>
  <r>
    <x v="31"/>
    <n v="25"/>
    <n v="100"/>
    <n v="75"/>
    <n v="0.8"/>
    <n v="0.71839080459774118"/>
    <n v="-0.10201149425282358"/>
    <n v="32.174999999995634"/>
    <n v="0.75"/>
    <n v="46.125"/>
    <n v="0.75"/>
    <n v="42.899999999994179"/>
    <n v="61.5"/>
    <n v="0.41091954022985222"/>
    <n v="0.58908045977014778"/>
    <n v="104.39999999999418"/>
  </r>
  <r>
    <x v="32"/>
    <n v="22"/>
    <n v="98"/>
    <n v="76"/>
    <n v="0.8"/>
    <n v="0.77630234933614961"/>
    <n v="-2.9622063329813045E-2"/>
    <n v="32.416326530603214"/>
    <n v="0.77551020408163263"/>
    <n v="43.506122448979596"/>
    <n v="0.77551020408163274"/>
    <n v="41.799999999988358"/>
    <n v="56.1"/>
    <n v="0.42696629213476334"/>
    <n v="0.57303370786523677"/>
    <n v="97.899999999988353"/>
  </r>
  <r>
    <x v="33"/>
    <n v="19"/>
    <n v="96"/>
    <n v="77"/>
    <n v="0.8"/>
    <n v="0.73896353166986561"/>
    <n v="-7.6295585412668038E-2"/>
    <n v="32.885416666666664"/>
    <n v="0.80208333333333326"/>
    <n v="50.69166666666667"/>
    <n v="0.80208333333333337"/>
    <n v="41"/>
    <n v="63.2"/>
    <n v="0.39347408829174663"/>
    <n v="0.60652591170825332"/>
    <n v="104.2"/>
  </r>
  <r>
    <x v="34"/>
    <n v="20"/>
    <n v="65"/>
    <n v="45"/>
    <n v="0.8"/>
    <n v="0.7352941176468315"/>
    <n v="-8.0882352941460678E-2"/>
    <n v="21.046153846169965"/>
    <n v="0.69230769230769229"/>
    <n v="21.323076923073902"/>
    <n v="0.6923076923076924"/>
    <n v="30.400000000023283"/>
    <n v="30.799999999995634"/>
    <n v="0.49673202614401774"/>
    <n v="0.50326797385598221"/>
    <n v="61.200000000018917"/>
  </r>
  <r>
    <x v="35"/>
    <n v="11"/>
    <n v="65"/>
    <n v="54"/>
    <n v="0.8"/>
    <n v="0.84905660377360437"/>
    <n v="6.1320754717005398E-2"/>
    <n v="25.255384615379779"/>
    <n v="0.8307692307692307"/>
    <n v="27.581538461542088"/>
    <n v="0.83076923076923082"/>
    <n v="30.399999999994179"/>
    <n v="33.200000000004366"/>
    <n v="0.4779874213835672"/>
    <n v="0.5220125786164328"/>
    <n v="63.599999999998545"/>
  </r>
  <r>
    <x v="36"/>
    <n v="23"/>
    <n v="86"/>
    <n v="63"/>
    <n v="0.8"/>
    <n v="0.71106094808121745"/>
    <n v="-0.11117381489847826"/>
    <n v="30.108139534887986"/>
    <n v="0.73255813953488369"/>
    <n v="34.796511627906973"/>
    <n v="0.73255813953488369"/>
    <n v="41.100000000005821"/>
    <n v="47.5"/>
    <n v="0.46388261851019325"/>
    <n v="0.53611738148980681"/>
    <n v="88.600000000005821"/>
  </r>
  <r>
    <x v="37"/>
    <n v="24"/>
    <n v="91"/>
    <n v="67"/>
    <n v="0.8"/>
    <n v="0.74944071588383965"/>
    <n v="-6.3199105145200496E-2"/>
    <n v="31.070329670316813"/>
    <n v="0.7362637362637362"/>
    <n v="34.75164835164621"/>
    <n v="0.73626373626373631"/>
    <n v="42.199999999982538"/>
    <n v="47.19999999999709"/>
    <n v="0.47203579418335745"/>
    <n v="0.52796420581664261"/>
    <n v="89.399999999979627"/>
  </r>
  <r>
    <x v="38"/>
    <n v="23"/>
    <n v="104"/>
    <n v="81"/>
    <n v="0.8"/>
    <n v="0.79567779960698171"/>
    <n v="-5.402750491272923E-3"/>
    <n v="33.256730769239837"/>
    <n v="0.77884615384615385"/>
    <n v="46.029807692307699"/>
    <n v="0.77884615384615397"/>
    <n v="42.700000000011642"/>
    <n v="59.1"/>
    <n v="0.41944990176823926"/>
    <n v="0.58055009823176074"/>
    <n v="101.80000000001164"/>
  </r>
  <r>
    <x v="39"/>
    <n v="26"/>
    <n v="88"/>
    <n v="62"/>
    <n v="0.8"/>
    <n v="0.7209302325582615"/>
    <n v="-9.8837209302173171E-2"/>
    <n v="29.4499999999918"/>
    <n v="0.70454545454545459"/>
    <n v="31.140909090907041"/>
    <n v="0.70454545454545459"/>
    <n v="41.799999999988358"/>
    <n v="44.19999999999709"/>
    <n v="0.48604651162785389"/>
    <n v="0.51395348837214616"/>
    <n v="85.999999999985448"/>
  </r>
  <r>
    <x v="40"/>
    <n v="21"/>
    <n v="103"/>
    <n v="82"/>
    <n v="0.8"/>
    <n v="0.80392156862740505"/>
    <n v="4.901960784256254E-3"/>
    <n v="33.914563106800749"/>
    <n v="0.79611650485436891"/>
    <n v="47.289320388349516"/>
    <n v="0.79611650485436902"/>
    <n v="42.600000000005821"/>
    <n v="59.4"/>
    <n v="0.41764705882356262"/>
    <n v="0.58235294117643732"/>
    <n v="102.00000000000583"/>
  </r>
  <r>
    <x v="41"/>
    <n v="16"/>
    <n v="40"/>
    <n v="24"/>
    <n v="0.8"/>
    <n v="0.59405940594078666"/>
    <n v="-0.25742574257401674"/>
    <n v="10.079999999993015"/>
    <n v="0.6"/>
    <n v="14.159999999999126"/>
    <n v="0.6"/>
    <n v="16.799999999988358"/>
    <n v="23.599999999998545"/>
    <n v="0.4158415841582625"/>
    <n v="0.58415841584173744"/>
    <n v="40.399999999986903"/>
  </r>
  <r>
    <x v="42"/>
    <n v="0"/>
    <n v="0"/>
    <n v="0"/>
    <n v="0.8"/>
    <n v="0"/>
    <n v="-1"/>
    <n v="0"/>
    <n v="0"/>
    <n v="0"/>
    <n v="0"/>
    <n v="0"/>
    <n v="0"/>
    <n v="0"/>
    <n v="0"/>
    <n v="0"/>
  </r>
  <r>
    <x v="43"/>
    <n v="10"/>
    <n v="75"/>
    <n v="65"/>
    <n v="0.8"/>
    <n v="0.83333333333327109"/>
    <n v="4.1666666666588803E-2"/>
    <n v="28.686666666671712"/>
    <n v="0.8666666666666667"/>
    <n v="38.913333333333334"/>
    <n v="0.8666666666666667"/>
    <n v="33.100000000005821"/>
    <n v="44.9"/>
    <n v="0.42435897435901732"/>
    <n v="0.57564102564098263"/>
    <n v="78.000000000005826"/>
  </r>
  <r>
    <x v="44"/>
    <n v="22"/>
    <n v="90"/>
    <n v="68"/>
    <n v="0.8"/>
    <n v="0.76836158192077764"/>
    <n v="-3.954802259902801E-2"/>
    <n v="31.204444444457639"/>
    <n v="0.75555555555555554"/>
    <n v="35.662222222220024"/>
    <n v="0.75555555555555554"/>
    <n v="41.300000000017462"/>
    <n v="47.19999999999709"/>
    <n v="0.46666666666678724"/>
    <n v="0.53333333333321276"/>
    <n v="88.500000000014552"/>
  </r>
  <r>
    <x v="45"/>
    <n v="21"/>
    <n v="83"/>
    <n v="62"/>
    <n v="0.8"/>
    <n v="0.73113207547186121"/>
    <n v="-8.6084905660173544E-2"/>
    <n v="31.1493975903484"/>
    <n v="0.74698795180722888"/>
    <n v="32.195180722890477"/>
    <n v="0.74698795180722888"/>
    <n v="41.699999999982538"/>
    <n v="43.099999999998545"/>
    <n v="0.49174528301877168"/>
    <n v="0.50825471698122837"/>
    <n v="84.799999999981083"/>
  </r>
  <r>
    <x v="46"/>
    <n v="21"/>
    <n v="84"/>
    <n v="63"/>
    <n v="0.8"/>
    <n v="0.72330654420195784"/>
    <n v="-9.5866819747552762E-2"/>
    <n v="30.900000000008731"/>
    <n v="0.75"/>
    <n v="34.425000000001091"/>
    <n v="0.75"/>
    <n v="41.200000000011642"/>
    <n v="45.900000000001455"/>
    <n v="0.47301951779569973"/>
    <n v="0.52698048220430027"/>
    <n v="87.100000000013097"/>
  </r>
  <r>
    <x v="47"/>
    <n v="22"/>
    <n v="86"/>
    <n v="64"/>
    <n v="0.8"/>
    <n v="0.73310423825891413"/>
    <n v="-8.3619702176357391E-2"/>
    <n v="31.181395348832879"/>
    <n v="0.7441860465116279"/>
    <n v="33.786046511628989"/>
    <n v="0.7441860465116279"/>
    <n v="41.899999999994179"/>
    <n v="45.400000000001455"/>
    <n v="0.47995418098506609"/>
    <n v="0.52004581901493385"/>
    <n v="87.299999999995634"/>
  </r>
  <r>
    <x v="48"/>
    <n v="10"/>
    <n v="17"/>
    <n v="7"/>
    <n v="0.8"/>
    <n v="0.37837837837867599"/>
    <n v="-0.52702702702665505"/>
    <n v="3.8294117647010886"/>
    <n v="0.41176470588235292"/>
    <n v="3.7882352941164488"/>
    <n v="0.41176470588235298"/>
    <n v="9.2999999999883585"/>
    <n v="9.1999999999970896"/>
    <n v="0.50270270270246886"/>
    <n v="0.49729729729753119"/>
    <n v="18.499999999985448"/>
  </r>
  <r>
    <x v="49"/>
    <n v="8"/>
    <n v="68"/>
    <n v="60"/>
    <n v="0.8"/>
    <n v="0.9375"/>
    <n v="0.17187499999999994"/>
    <n v="26.470588235294116"/>
    <n v="0.88235294117647056"/>
    <n v="30"/>
    <n v="0.88235294117647056"/>
    <n v="30"/>
    <n v="34"/>
    <n v="0.46875"/>
    <n v="0.53125"/>
    <n v="64"/>
  </r>
  <r>
    <x v="50"/>
    <n v="19"/>
    <n v="87"/>
    <n v="68"/>
    <n v="0.8"/>
    <n v="0.73275862068960917"/>
    <n v="-8.4051724137988587E-2"/>
    <n v="32.514942528740178"/>
    <n v="0.78160919540229878"/>
    <n v="40.018390804597708"/>
    <n v="0.7816091954022989"/>
    <n v="41.600000000005821"/>
    <n v="51.2"/>
    <n v="0.44827586206900011"/>
    <n v="0.55172413793099984"/>
    <n v="92.800000000005824"/>
  </r>
  <r>
    <x v="51"/>
    <n v="17"/>
    <n v="91"/>
    <n v="74"/>
    <n v="0.8"/>
    <n v="0.81140350877195577"/>
    <n v="1.4254385964944659E-2"/>
    <n v="32.120879120879124"/>
    <n v="0.8131868131868133"/>
    <n v="42.041758241755872"/>
    <n v="0.81318681318681307"/>
    <n v="39.5"/>
    <n v="51.69999999999709"/>
    <n v="0.43311403508773311"/>
    <n v="0.56688596491226695"/>
    <n v="91.19999999999709"/>
  </r>
  <r>
    <x v="52"/>
    <n v="22"/>
    <n v="82"/>
    <n v="60"/>
    <n v="0.8"/>
    <n v="0.80428954423594057"/>
    <n v="5.3619302949256542E-3"/>
    <n v="31.829268292682926"/>
    <n v="0.73170731707317072"/>
    <n v="22.756097560974546"/>
    <n v="0.73170731707317072"/>
    <n v="43.5"/>
    <n v="31.099999999998545"/>
    <n v="0.58310991957105696"/>
    <n v="0.4168900804289431"/>
    <n v="74.599999999998545"/>
  </r>
  <r>
    <x v="53"/>
    <n v="19"/>
    <n v="91"/>
    <n v="72"/>
    <n v="0.8"/>
    <n v="0.78774617067838715"/>
    <n v="-1.5317286652016121E-2"/>
    <n v="31.964835164830561"/>
    <n v="0.79120879120879128"/>
    <n v="40.35164835164835"/>
    <n v="0.79120879120879117"/>
    <n v="40.399999999994179"/>
    <n v="51"/>
    <n v="0.4420131291028091"/>
    <n v="0.5579868708971909"/>
    <n v="91.399999999994179"/>
  </r>
  <r>
    <x v="54"/>
    <n v="22"/>
    <n v="94"/>
    <n v="72"/>
    <n v="0.8"/>
    <n v="0.80536912751663436"/>
    <n v="6.7114093957929E-3"/>
    <n v="33.548936170226142"/>
    <n v="0.76595744680851063"/>
    <n v="34.927659574466972"/>
    <n v="0.76595744680851063"/>
    <n v="43.800000000017462"/>
    <n v="45.599999999998545"/>
    <n v="0.48993288590614786"/>
    <n v="0.51006711409385208"/>
    <n v="89.400000000016007"/>
  </r>
  <r>
    <x v="55"/>
    <n v="8"/>
    <n v="19"/>
    <n v="11"/>
    <n v="0.8"/>
    <n v="0.56994818652862633"/>
    <n v="-0.28756476683921711"/>
    <n v="5.4421052631545246"/>
    <n v="0.57894736842105265"/>
    <n v="5.7315789473692638"/>
    <n v="0.57894736842105265"/>
    <n v="9.3999999999941792"/>
    <n v="9.9000000000014552"/>
    <n v="0.48704663212416094"/>
    <n v="0.51295336787583912"/>
    <n v="19.299999999995634"/>
  </r>
  <r>
    <x v="56"/>
    <n v="11"/>
    <n v="50"/>
    <n v="39"/>
    <n v="0.8"/>
    <n v="0.84967320261408275"/>
    <n v="6.2091503267603376E-2"/>
    <n v="16.146000000009082"/>
    <n v="0.78"/>
    <n v="19.656000000003406"/>
    <n v="0.78"/>
    <n v="20.700000000011642"/>
    <n v="25.200000000004366"/>
    <n v="0.45098039215695912"/>
    <n v="0.54901960784304082"/>
    <n v="45.900000000016007"/>
  </r>
  <r>
    <x v="57"/>
    <n v="19"/>
    <n v="87"/>
    <n v="68"/>
    <n v="0.8"/>
    <n v="0.77803203661327225"/>
    <n v="-2.7459954233409745E-2"/>
    <n v="33.609195402298852"/>
    <n v="0.7816091954022989"/>
    <n v="34.703448275862065"/>
    <n v="0.78160919540229878"/>
    <n v="43"/>
    <n v="44.4"/>
    <n v="0.49199084668192211"/>
    <n v="0.50800915331807783"/>
    <n v="87.4"/>
  </r>
  <r>
    <x v="58"/>
    <n v="18"/>
    <n v="104"/>
    <n v="86"/>
    <n v="0.8"/>
    <n v="0.79703429101019463"/>
    <n v="-3.7071362372567696E-3"/>
    <n v="35.971153846153847"/>
    <n v="0.82692307692307698"/>
    <n v="53.253846153846162"/>
    <n v="0.82692307692307698"/>
    <n v="43.5"/>
    <n v="64.400000000000006"/>
    <n v="0.40315106580166821"/>
    <n v="0.59684893419833185"/>
    <n v="107.9"/>
  </r>
  <r>
    <x v="59"/>
    <n v="22"/>
    <n v="84"/>
    <n v="62"/>
    <n v="0.8"/>
    <n v="0.71925754060327252"/>
    <n v="-0.10092807424590942"/>
    <n v="29.892857142857142"/>
    <n v="0.73809523809523814"/>
    <n v="33.730952380950235"/>
    <n v="0.73809523809523814"/>
    <n v="40.5"/>
    <n v="45.69999999999709"/>
    <n v="0.46983758700697642"/>
    <n v="0.53016241299302358"/>
    <n v="86.19999999999709"/>
  </r>
  <r>
    <x v="60"/>
    <n v="21"/>
    <n v="104"/>
    <n v="83"/>
    <n v="0.8"/>
    <n v="0.7844990548205022"/>
    <n v="-1.9376181474372312E-2"/>
    <n v="34.556730769221481"/>
    <n v="0.79807692307692313"/>
    <n v="49.879807692307693"/>
    <n v="0.79807692307692313"/>
    <n v="43.299999999988358"/>
    <n v="62.5"/>
    <n v="0.4092627599243206"/>
    <n v="0.5907372400756794"/>
    <n v="105.79999999998836"/>
  </r>
  <r>
    <x v="61"/>
    <n v="22"/>
    <n v="91"/>
    <n v="69"/>
    <n v="0.8"/>
    <n v="0.77528089887634111"/>
    <n v="-3.0898876404573672E-2"/>
    <n v="31.542857142861557"/>
    <n v="0.75824175824175821"/>
    <n v="35.940659340660446"/>
    <n v="0.75824175824175832"/>
    <n v="41.600000000005821"/>
    <n v="47.400000000001455"/>
    <n v="0.46741573033710587"/>
    <n v="0.53258426966289418"/>
    <n v="89.000000000007276"/>
  </r>
  <r>
    <x v="62"/>
    <n v="17"/>
    <n v="60"/>
    <n v="43"/>
    <n v="0.8"/>
    <n v="0.73883161512021944"/>
    <n v="-7.6460481099725752E-2"/>
    <n v="22.646666666670839"/>
    <n v="0.71666666666666667"/>
    <n v="19.063333333332292"/>
    <n v="0.71666666666666667"/>
    <n v="31.600000000005821"/>
    <n v="26.599999999998545"/>
    <n v="0.54295532646054046"/>
    <n v="0.4570446735394596"/>
    <n v="58.200000000004366"/>
  </r>
  <r>
    <x v="63"/>
    <n v="6"/>
    <n v="68"/>
    <n v="62"/>
    <n v="0.8"/>
    <n v="0.94224924012164302"/>
    <n v="0.17781155015205372"/>
    <n v="27.808823529411764"/>
    <n v="0.91176470588235292"/>
    <n v="32.185294117643082"/>
    <n v="0.91176470588235303"/>
    <n v="30.5"/>
    <n v="35.299999999995634"/>
    <n v="0.46352583586629215"/>
    <n v="0.53647416413370785"/>
    <n v="65.799999999995634"/>
  </r>
  <r>
    <x v="64"/>
    <n v="18"/>
    <n v="97"/>
    <n v="79"/>
    <n v="0.8"/>
    <n v="0.74881516587681862"/>
    <n v="-6.3981042653976777E-2"/>
    <n v="33.717525773191134"/>
    <n v="0.81443298969072164"/>
    <n v="52.205154639175255"/>
    <n v="0.81443298969072164"/>
    <n v="41.399999999994179"/>
    <n v="64.099999999999994"/>
    <n v="0.39241706161134088"/>
    <n v="0.60758293838865907"/>
    <n v="105.49999999999417"/>
  </r>
  <r>
    <x v="65"/>
    <n v="18"/>
    <n v="84"/>
    <n v="66"/>
    <n v="0.8"/>
    <n v="0.7904191616767845"/>
    <n v="-1.1976047904019432E-2"/>
    <n v="32.371428571414853"/>
    <n v="0.78571428571428581"/>
    <n v="33.235714285716575"/>
    <n v="0.78571428571428581"/>
    <n v="41.199999999982538"/>
    <n v="42.30000000000291"/>
    <n v="0.49341317365257148"/>
    <n v="0.50658682634742858"/>
    <n v="83.499999999985448"/>
  </r>
  <r>
    <x v="66"/>
    <n v="17"/>
    <n v="85"/>
    <n v="68"/>
    <n v="0.8"/>
    <n v="0.794392523364432"/>
    <n v="-7.0093457944600526E-3"/>
    <n v="23.280000000004655"/>
    <n v="0.79999999999999993"/>
    <n v="45.2"/>
    <n v="0.8"/>
    <n v="29.100000000005821"/>
    <n v="56.5"/>
    <n v="0.33995327102808226"/>
    <n v="0.66004672897191763"/>
    <n v="85.600000000005821"/>
  </r>
  <r>
    <x v="67"/>
    <n v="16"/>
    <n v="88"/>
    <n v="72"/>
    <n v="0.8"/>
    <n v="0.83623693379778219"/>
    <n v="4.5296167247227681E-2"/>
    <n v="31.336363636377925"/>
    <n v="0.81818181818181823"/>
    <n v="39.109090909087335"/>
    <n v="0.81818181818181812"/>
    <n v="38.300000000017462"/>
    <n v="47.799999999995634"/>
    <n v="0.44483159117318977"/>
    <n v="0.55516840882681029"/>
    <n v="86.100000000013097"/>
  </r>
  <r>
    <x v="68"/>
    <n v="18"/>
    <n v="93"/>
    <n v="75"/>
    <n v="0.8"/>
    <n v="0.85714285714299965"/>
    <n v="7.1428571428749504E-2"/>
    <n v="32.822580645147205"/>
    <n v="0.80645161290322576"/>
    <n v="37.741935483873313"/>
    <n v="0.80645161290322576"/>
    <n v="40.699999999982538"/>
    <n v="46.80000000000291"/>
    <n v="0.4651428571427349"/>
    <n v="0.53485714285726504"/>
    <n v="87.499999999985448"/>
  </r>
  <r>
    <x v="69"/>
    <n v="8"/>
    <n v="54"/>
    <n v="46"/>
    <n v="0.8"/>
    <n v="0.94845360824713809"/>
    <n v="0.18556701030892256"/>
    <n v="18.144444444459321"/>
    <n v="0.85185185185185186"/>
    <n v="23.170370370367891"/>
    <n v="0.85185185185185186"/>
    <n v="21.300000000017462"/>
    <n v="27.19999999999709"/>
    <n v="0.43917525773218707"/>
    <n v="0.56082474226781298"/>
    <n v="48.500000000014552"/>
  </r>
  <r>
    <x v="70"/>
    <n v="16"/>
    <n v="99"/>
    <n v="83"/>
    <n v="0.8"/>
    <n v="0.84607543323144674"/>
    <n v="5.7594291539308368E-2"/>
    <n v="34.709090909086029"/>
    <n v="0.83838383838383834"/>
    <n v="47.536363636363639"/>
    <n v="0.83838383838383834"/>
    <n v="41.399999999994179"/>
    <n v="56.7"/>
    <n v="0.42201834862381893"/>
    <n v="0.57798165137618107"/>
    <n v="98.099999999994182"/>
  </r>
  <r>
    <x v="71"/>
    <n v="23"/>
    <n v="87"/>
    <n v="64"/>
    <n v="0.8"/>
    <n v="0.74853801169609757"/>
    <n v="-6.4327485379878091E-2"/>
    <n v="30.308045976998649"/>
    <n v="0.73563218390804597"/>
    <n v="32.588505747123229"/>
    <n v="0.73563218390804608"/>
    <n v="41.199999999982538"/>
    <n v="44.299999999995634"/>
    <n v="0.48187134502915852"/>
    <n v="0.51812865497084148"/>
    <n v="85.499999999978172"/>
  </r>
  <r>
    <x v="72"/>
    <n v="19"/>
    <n v="85"/>
    <n v="66"/>
    <n v="0.8"/>
    <n v="0.76124567474044613"/>
    <n v="-4.844290657444239E-2"/>
    <n v="31.058823529411764"/>
    <n v="0.77647058823529413"/>
    <n v="36.261176470591622"/>
    <n v="0.77647058823529402"/>
    <n v="40"/>
    <n v="46.700000000004366"/>
    <n v="0.46136101499420973"/>
    <n v="0.53863898500579022"/>
    <n v="86.700000000004366"/>
  </r>
  <r>
    <x v="73"/>
    <n v="16"/>
    <n v="98"/>
    <n v="82"/>
    <n v="0.8"/>
    <n v="0.82412060301493073"/>
    <n v="3.0150753768663358E-2"/>
    <n v="35.812244897973798"/>
    <n v="0.83673469387755106"/>
    <n v="47.44285714285715"/>
    <n v="0.83673469387755106"/>
    <n v="42.800000000017462"/>
    <n v="56.7"/>
    <n v="0.43015075376894424"/>
    <n v="0.56984924623105582"/>
    <n v="99.500000000017465"/>
  </r>
  <r>
    <x v="74"/>
    <n v="17"/>
    <n v="102"/>
    <n v="85"/>
    <n v="0.8"/>
    <n v="0.97254004576657416"/>
    <n v="0.21567505720821767"/>
    <n v="36.333333333338182"/>
    <n v="0.83333333333333326"/>
    <n v="36.499999999996362"/>
    <n v="0.83333333333333337"/>
    <n v="43.600000000005821"/>
    <n v="43.799999999995634"/>
    <n v="0.49885583524033289"/>
    <n v="0.50114416475966717"/>
    <n v="87.400000000001455"/>
  </r>
  <r>
    <x v="75"/>
    <n v="17"/>
    <n v="90"/>
    <n v="73"/>
    <n v="0.8"/>
    <n v="0.82766439909299783"/>
    <n v="3.4580498866247228E-2"/>
    <n v="33.174444444439722"/>
    <n v="0.81111111111111112"/>
    <n v="38.365555555557918"/>
    <n v="0.81111111111111112"/>
    <n v="40.899999999994179"/>
    <n v="47.30000000000291"/>
    <n v="0.4637188208616273"/>
    <n v="0.5362811791383727"/>
    <n v="88.19999999999709"/>
  </r>
  <r>
    <x v="76"/>
    <n v="16"/>
    <n v="59"/>
    <n v="43"/>
    <n v="0.8"/>
    <n v="0.73129251700703801"/>
    <n v="-8.588435374120254E-2"/>
    <n v="21.645762711851681"/>
    <n v="0.72881355932203395"/>
    <n v="21.208474576270127"/>
    <n v="0.72881355932203395"/>
    <n v="29.699999999982538"/>
    <n v="29.099999999998545"/>
    <n v="0.50510204081619203"/>
    <n v="0.49489795918380791"/>
    <n v="58.799999999981083"/>
  </r>
  <r>
    <x v="77"/>
    <n v="7"/>
    <n v="67"/>
    <n v="60"/>
    <n v="0.8"/>
    <n v="0.94786729857782859"/>
    <n v="0.18483412322228568"/>
    <n v="25.432835820916374"/>
    <n v="0.89552238805970152"/>
    <n v="31.253731343284887"/>
    <n v="0.89552238805970152"/>
    <n v="28.400000000023283"/>
    <n v="34.900000000001455"/>
    <n v="0.44865718799387339"/>
    <n v="0.55134281200612667"/>
    <n v="63.300000000024738"/>
  </r>
  <r>
    <x v="78"/>
    <n v="20"/>
    <n v="96"/>
    <n v="76"/>
    <n v="0.8"/>
    <n v="0.8539325842698724"/>
    <n v="6.741573033734044E-2"/>
    <n v="32.141666666648234"/>
    <n v="0.79166666666666663"/>
    <n v="38.316666666667821"/>
    <n v="0.79166666666666674"/>
    <n v="40.599999999976717"/>
    <n v="48.400000000001455"/>
    <n v="0.45617977528074916"/>
    <n v="0.54382022471925084"/>
    <n v="88.999999999978172"/>
  </r>
  <r>
    <x v="79"/>
    <n v="17"/>
    <n v="90"/>
    <n v="73"/>
    <n v="0.8"/>
    <n v="0.84686774941998222"/>
    <n v="5.8584686774977718E-2"/>
    <n v="31.633333333333333"/>
    <n v="0.81111111111111112"/>
    <n v="38.284444444442087"/>
    <n v="0.81111111111111123"/>
    <n v="39"/>
    <n v="47.19999999999709"/>
    <n v="0.45243619489560694"/>
    <n v="0.54756380510439306"/>
    <n v="86.19999999999709"/>
  </r>
  <r>
    <x v="80"/>
    <n v="18"/>
    <n v="93"/>
    <n v="75"/>
    <n v="0.8"/>
    <n v="0.8771929824560657"/>
    <n v="9.6491228070082063E-2"/>
    <n v="35.161290322585337"/>
    <n v="0.80645161290322576"/>
    <n v="33.790322580646333"/>
    <n v="0.80645161290322576"/>
    <n v="43.600000000005821"/>
    <n v="41.900000000001455"/>
    <n v="0.5099415204678609"/>
    <n v="0.4900584795321391"/>
    <n v="85.500000000007276"/>
  </r>
  <r>
    <x v="81"/>
    <n v="16"/>
    <n v="92"/>
    <n v="76"/>
    <n v="0.8"/>
    <n v="0.85972850678738688"/>
    <n v="7.4660633484233546E-2"/>
    <n v="34.61304347825606"/>
    <n v="0.82608695652173914"/>
    <n v="38.413043478260867"/>
    <n v="0.82608695652173914"/>
    <n v="41.899999999994179"/>
    <n v="46.5"/>
    <n v="0.47398190045245409"/>
    <n v="0.52601809954754597"/>
    <n v="88.399999999994179"/>
  </r>
  <r>
    <x v="82"/>
    <n v="24"/>
    <n v="94"/>
    <n v="70"/>
    <n v="0.8"/>
    <n v="0.79275198187986329"/>
    <n v="-9.0600226501709458E-3"/>
    <n v="32.170212765966113"/>
    <n v="0.74468085106382975"/>
    <n v="33.585106382977642"/>
    <n v="0.74468085106382986"/>
    <n v="43.200000000011642"/>
    <n v="45.099999999998545"/>
    <n v="0.48924122310313317"/>
    <n v="0.51075877689686688"/>
    <n v="88.300000000010186"/>
  </r>
  <r>
    <x v="83"/>
    <n v="11"/>
    <n v="56"/>
    <n v="45"/>
    <n v="0.8"/>
    <n v="0.82568807339460559"/>
    <n v="3.2110091743256935E-2"/>
    <n v="21.616071428566752"/>
    <n v="0.8035714285714286"/>
    <n v="22.178571428570258"/>
    <n v="0.80357142857142849"/>
    <n v="26.899999999994179"/>
    <n v="27.599999999998545"/>
    <n v="0.49357798165133526"/>
    <n v="0.50642201834866474"/>
    <n v="54.499999999992724"/>
  </r>
  <r>
    <x v="84"/>
    <n v="18"/>
    <n v="88"/>
    <n v="70"/>
    <n v="0.8"/>
    <n v="0.81206496519724325"/>
    <n v="1.5081206496554006E-2"/>
    <n v="33.329545454540828"/>
    <n v="0.79545454545454553"/>
    <n v="35.238636363638676"/>
    <n v="0.79545454545454541"/>
    <n v="41.899999999994179"/>
    <n v="44.30000000000291"/>
    <n v="0.48607888631085372"/>
    <n v="0.51392111368914628"/>
    <n v="86.19999999999709"/>
  </r>
  <r>
    <x v="85"/>
    <n v="12"/>
    <n v="101"/>
    <n v="89"/>
    <n v="0.8"/>
    <n v="0.83177570093453412"/>
    <n v="3.9719626168167599E-2"/>
    <n v="36.216831683173446"/>
    <n v="0.88118811881188119"/>
    <n v="58.070297029702971"/>
    <n v="0.88118811881188108"/>
    <n v="41.100000000005821"/>
    <n v="65.900000000000006"/>
    <n v="0.38411214953274375"/>
    <n v="0.61588785046725625"/>
    <n v="107.00000000000583"/>
  </r>
  <r>
    <x v="86"/>
    <n v="15"/>
    <n v="105"/>
    <n v="90"/>
    <n v="0.8"/>
    <n v="0.81300813008130079"/>
    <n v="1.6260162601625938E-2"/>
    <n v="36.857142857142854"/>
    <n v="0.8571428571428571"/>
    <n v="58.028571428571432"/>
    <n v="0.85714285714285721"/>
    <n v="43"/>
    <n v="67.7"/>
    <n v="0.38843721770551037"/>
    <n v="0.61156278229448957"/>
    <n v="110.7"/>
  </r>
  <r>
    <x v="87"/>
    <n v="14"/>
    <n v="102"/>
    <n v="88"/>
    <n v="0.8"/>
    <n v="0.84696823869090676"/>
    <n v="5.8710298363633402E-2"/>
    <n v="37.356862745113105"/>
    <n v="0.86274509803921573"/>
    <n v="52.28235294117647"/>
    <n v="0.86274509803921562"/>
    <n v="43.300000000017462"/>
    <n v="60.6"/>
    <n v="0.41674687199239835"/>
    <n v="0.58325312800760176"/>
    <n v="103.90000000001746"/>
  </r>
  <r>
    <x v="88"/>
    <n v="15"/>
    <n v="104"/>
    <n v="89"/>
    <n v="0.8"/>
    <n v="0.82179132040645553"/>
    <n v="2.7239150508069354E-2"/>
    <n v="36.883653846133925"/>
    <n v="0.85576923076923084"/>
    <n v="55.79615384615385"/>
    <n v="0.85576923076923084"/>
    <n v="43.099999999976717"/>
    <n v="65.2"/>
    <n v="0.39796860572470899"/>
    <n v="0.60203139427529107"/>
    <n v="108.29999999997672"/>
  </r>
  <r>
    <x v="89"/>
    <n v="18"/>
    <n v="102"/>
    <n v="84"/>
    <n v="0.8"/>
    <n v="0.81474296799224055"/>
    <n v="1.8428709990300635E-2"/>
    <n v="36.647058823529413"/>
    <n v="0.82352941176470595"/>
    <n v="48.258823529411771"/>
    <n v="0.82352941176470595"/>
    <n v="44.5"/>
    <n v="58.6"/>
    <n v="0.431619786614937"/>
    <n v="0.56838021338506306"/>
    <n v="103.1"/>
  </r>
  <r>
    <x v="90"/>
    <n v="17"/>
    <n v="101"/>
    <n v="84"/>
    <n v="0.8"/>
    <n v="0.90225563909768791"/>
    <n v="0.12781954887210983"/>
    <n v="35.013861386143454"/>
    <n v="0.83168316831683164"/>
    <n v="42.415841584158414"/>
    <n v="0.83168316831683164"/>
    <n v="42.100000000005821"/>
    <n v="51"/>
    <n v="0.45220193340497516"/>
    <n v="0.54779806659502484"/>
    <n v="93.100000000005821"/>
  </r>
  <r>
    <x v="91"/>
    <n v="15"/>
    <n v="91"/>
    <n v="76"/>
    <n v="0.8"/>
    <n v="0.86757990867559731"/>
    <n v="8.4474885844496583E-2"/>
    <n v="34.074725274739862"/>
    <n v="0.8351648351648352"/>
    <n v="39.085714285716719"/>
    <n v="0.8351648351648352"/>
    <n v="40.800000000017462"/>
    <n v="46.80000000000291"/>
    <n v="0.46575342465762526"/>
    <n v="0.53424657534237474"/>
    <n v="87.600000000020373"/>
  </r>
  <r>
    <x v="92"/>
    <n v="20"/>
    <n v="60"/>
    <n v="40"/>
    <n v="0.8"/>
    <n v="0.3734827264239029"/>
    <n v="-0.53314659197012138"/>
    <n v="28.333333333333332"/>
    <n v="0.66666666666666663"/>
    <n v="43.06666666666667"/>
    <n v="0.66666666666666674"/>
    <n v="42.5"/>
    <n v="64.599999999999994"/>
    <n v="0.39682539682539686"/>
    <n v="0.60317460317460314"/>
    <n v="107.1"/>
  </r>
  <r>
    <x v="93"/>
    <n v="20"/>
    <n v="68"/>
    <n v="48"/>
    <n v="0.8"/>
    <n v="0.44568245125348188"/>
    <n v="-0.44289693593314772"/>
    <n v="30.352941176470587"/>
    <n v="0.70588235294117641"/>
    <n v="45.670588235294126"/>
    <n v="0.70588235294117652"/>
    <n v="43"/>
    <n v="64.7"/>
    <n v="0.39925719591457748"/>
    <n v="0.60074280408542247"/>
    <n v="107.7"/>
  </r>
  <r>
    <x v="94"/>
    <n v="20"/>
    <n v="97"/>
    <n v="77"/>
    <n v="0.8"/>
    <n v="0.72436500470378784"/>
    <n v="-9.4543744120265255E-2"/>
    <n v="35.086597938130467"/>
    <n v="0.79381443298969068"/>
    <n v="49.295876288659791"/>
    <n v="0.79381443298969068"/>
    <n v="44.199999999982538"/>
    <n v="62.1"/>
    <n v="0.41580432737525685"/>
    <n v="0.58419567262474326"/>
    <n v="106.29999999998253"/>
  </r>
  <r>
    <x v="95"/>
    <n v="19"/>
    <n v="84"/>
    <n v="65"/>
    <n v="0.8"/>
    <n v="0.60018467220683291"/>
    <n v="-0.24976915974145888"/>
    <n v="33.273809523809526"/>
    <n v="0.77380952380952384"/>
    <n v="50.529761904761905"/>
    <n v="0.77380952380952384"/>
    <n v="43"/>
    <n v="65.3"/>
    <n v="0.39704524469067409"/>
    <n v="0.60295475530932596"/>
    <n v="108.3"/>
  </r>
  <r>
    <x v="96"/>
    <n v="18"/>
    <n v="85"/>
    <n v="67"/>
    <n v="0.8"/>
    <n v="0.61637534498623359"/>
    <n v="-0.22953081876720807"/>
    <n v="33.421176470583646"/>
    <n v="0.78823529411764703"/>
    <n v="52.259999999999991"/>
    <n v="0.78823529411764692"/>
    <n v="42.399999999994179"/>
    <n v="66.3"/>
    <n v="0.3900643974240704"/>
    <n v="0.6099356025759296"/>
    <n v="108.69999999999418"/>
  </r>
  <r>
    <x v="97"/>
    <n v="9"/>
    <n v="88"/>
    <n v="79"/>
    <n v="0.8"/>
    <n v="1.7136659436001103"/>
    <n v="1.1420824295001377"/>
    <n v="20.10909090911181"/>
    <n v="0.89772727272727271"/>
    <n v="21.27613636363375"/>
    <n v="0.89772727272727271"/>
    <n v="22.400000000023283"/>
    <n v="23.69999999999709"/>
    <n v="0.48590021692002999"/>
    <n v="0.51409978307997006"/>
    <n v="46.1000000000203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ค่า" updatedVersion="6" minRefreshableVersion="5" useAutoFormatting="1" itemPrintTitles="1" createdVersion="6" indent="0" outline="1" outlineData="1" multipleFieldFilters="0" chartFormat="5">
  <location ref="K3:L11" firstHeaderRow="1" firstDataRow="1" firstDataCol="1"/>
  <pivotFields count="16">
    <pivotField axis="axisRow" numFmtId="187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showAll="0"/>
    <pivotField showAll="0"/>
    <pivotField numFmtId="9" showAll="0"/>
    <pivotField numFmtId="9" showAll="0"/>
    <pivotField numFmtId="9" showAll="0"/>
    <pivotField numFmtId="2" showAll="0"/>
    <pivotField numFmtId="9" showAll="0"/>
    <pivotField numFmtId="2" showAll="0"/>
    <pivotField numFmtId="9" showAll="0"/>
    <pivotField showAll="0"/>
    <pivotField showAll="0"/>
    <pivotField numFmtId="9" showAll="0"/>
    <pivotField numFmtId="9" showAll="0"/>
    <pivotField dataField="1" showAll="0"/>
  </pivotFields>
  <rowFields count="1">
    <field x="0"/>
  </rowFields>
  <rowItems count="8"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dataFields count="1">
    <dataField name=" รวมยอดใช้สตีม" fld="15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31" name="วันที่">
      <autoFilter ref="A1">
        <filterColumn colId="0">
          <customFilters and="1">
            <customFilter operator="greaterThanOrEqual" val="45992"/>
            <customFilter operator="lessThanOrEqual" val="460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ค่า" updatedVersion="6" minRefreshableVersion="5" useAutoFormatting="1" itemPrintTitles="1" createdVersion="6" indent="0" outline="1" outlineData="1" multipleFieldFilters="0" chartFormat="5">
  <location ref="H3:J11" firstHeaderRow="0" firstDataRow="1" firstDataCol="1"/>
  <pivotFields count="16">
    <pivotField axis="axisRow" numFmtId="187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showAll="0"/>
    <pivotField showAll="0"/>
    <pivotField numFmtId="9" showAll="0"/>
    <pivotField numFmtId="9" showAll="0"/>
    <pivotField numFmtId="9" showAll="0"/>
    <pivotField dataField="1" numFmtId="2" showAll="0"/>
    <pivotField numFmtId="9" showAll="0"/>
    <pivotField dataField="1" numFmtId="2" showAll="0"/>
    <pivotField numFmtId="9" showAll="0"/>
    <pivotField showAll="0"/>
    <pivotField showAll="0"/>
    <pivotField numFmtId="9" showAll="0"/>
    <pivotField numFmtId="9" showAll="0"/>
    <pivotField showAll="0"/>
  </pivotFields>
  <rowFields count="1">
    <field x="0"/>
  </rowFields>
  <rowItems count="8"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-2"/>
  </colFields>
  <colItems count="2">
    <i>
      <x/>
    </i>
    <i i="1">
      <x v="1"/>
    </i>
  </colItems>
  <dataFields count="2">
    <dataField name=" CON Return bhs" fld="7" baseField="0" baseItem="0"/>
    <dataField name="  CON Return yueli" fld="9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31" name="วันที่">
      <autoFilter ref="A1">
        <filterColumn colId="0">
          <customFilters and="1">
            <customFilter operator="greaterThanOrEqual" val="45992"/>
            <customFilter operator="lessThanOrEqual" val="460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ค่า" updatedVersion="6" minRefreshableVersion="5" useAutoFormatting="1" itemPrintTitles="1" createdVersion="6" indent="0" outline="1" outlineData="1" multipleFieldFilters="0" chartFormat="5">
  <location ref="E3:G11" firstHeaderRow="0" firstDataRow="1" firstDataCol="1"/>
  <pivotFields count="16">
    <pivotField axis="axisRow" numFmtId="187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showAll="0"/>
    <pivotField showAll="0"/>
    <pivotField dataField="1" numFmtId="9" showAll="0"/>
    <pivotField dataField="1" numFmtId="9" showAll="0"/>
    <pivotField numFmtId="9" showAll="0"/>
    <pivotField numFmtId="2" showAll="0"/>
    <pivotField numFmtId="9" showAll="0"/>
    <pivotField numFmtId="2" showAll="0"/>
    <pivotField numFmtId="9" showAll="0"/>
    <pivotField showAll="0"/>
    <pivotField showAll="0"/>
    <pivotField numFmtId="9" showAll="0"/>
    <pivotField numFmtId="9" showAll="0"/>
    <pivotField showAll="0"/>
  </pivotFields>
  <rowFields count="1">
    <field x="0"/>
  </rowFields>
  <rowItems count="8"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-2"/>
  </colFields>
  <colItems count="2">
    <i>
      <x/>
    </i>
    <i i="1">
      <x v="1"/>
    </i>
  </colItems>
  <dataFields count="2">
    <dataField name=" Target" fld="4" subtotal="min" baseField="0" baseItem="0" numFmtId="9"/>
    <dataField name=" %  condensate " fld="5" subtotal="average" baseField="0" baseItem="0" numFmtId="9"/>
  </dataFields>
  <formats count="2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31" name="วันที่">
      <autoFilter ref="A1">
        <filterColumn colId="0">
          <customFilters and="1">
            <customFilter operator="greaterThanOrEqual" val="45992"/>
            <customFilter operator="lessThanOrEqual" val="460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ค่า" updatedVersion="6" minRefreshableVersion="5" useAutoFormatting="1" itemPrintTitles="1" createdVersion="6" indent="0" outline="1" outlineData="1" multipleFieldFilters="0" chartFormat="5">
  <location ref="A3:D11" firstHeaderRow="0" firstDataRow="1" firstDataCol="1"/>
  <pivotFields count="16">
    <pivotField axis="axisRow" numFmtId="187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showAll="0"/>
    <pivotField dataField="1" showAll="0"/>
    <pivotField dataField="1" showAll="0"/>
    <pivotField numFmtId="9" showAll="0"/>
    <pivotField numFmtId="9" showAll="0"/>
    <pivotField numFmtId="9" showAll="0"/>
    <pivotField numFmtId="2" showAll="0"/>
    <pivotField numFmtId="9" showAll="0"/>
    <pivotField numFmtId="2" showAll="0"/>
    <pivotField numFmtId="9" showAll="0"/>
    <pivotField showAll="0"/>
    <pivotField showAll="0"/>
    <pivotField numFmtId="9" showAll="0"/>
    <pivotField numFmtId="9" showAll="0"/>
    <pivotField showAll="0"/>
  </pivotFields>
  <rowFields count="1">
    <field x="0"/>
  </rowFields>
  <rowItems count="8"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Soft Mark Up" fld="1" baseField="0" baseItem="0"/>
    <dataField name=" มิเตอร์น้ำ Boiler" fld="2" baseField="0" baseItem="0"/>
    <dataField name=" น้ำ CONDENSATE กลับ" fld="3" baseField="0" baseItem="0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31" name="วันที่">
      <autoFilter ref="A1">
        <filterColumn colId="0">
          <customFilters and="1">
            <customFilter operator="greaterThanOrEqual" val="45992"/>
            <customFilter operator="lessThanOrEqual" val="460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ค่า" updatedVersion="6" minRefreshableVersion="5" useAutoFormatting="1" itemPrintTitles="1" createdVersion="6" indent="0" outline="1" outlineData="1" multipleFieldFilters="0" chartFormat="5">
  <location ref="M3:N11" firstHeaderRow="1" firstDataRow="1" firstDataCol="1"/>
  <pivotFields count="16">
    <pivotField axis="axisRow" numFmtId="187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showAll="0"/>
    <pivotField showAll="0"/>
    <pivotField numFmtId="9" showAll="0"/>
    <pivotField numFmtId="9" showAll="0"/>
    <pivotField dataField="1" numFmtId="9" showAll="0"/>
    <pivotField numFmtId="2" showAll="0"/>
    <pivotField numFmtId="9" showAll="0"/>
    <pivotField numFmtId="2" showAll="0"/>
    <pivotField numFmtId="9" showAll="0"/>
    <pivotField showAll="0"/>
    <pivotField showAll="0"/>
    <pivotField numFmtId="9" showAll="0"/>
    <pivotField numFmtId="9" showAll="0"/>
    <pivotField showAll="0"/>
  </pivotFields>
  <rowFields count="1">
    <field x="0"/>
  </rowFields>
  <rowItems count="8"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dataFields count="1">
    <dataField name="ค่าเฉลี่ย ของ %DIFF" fld="6" subtotal="average" baseField="0" baseItem="0" numFmtId="9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31" name="วันที่">
      <autoFilter ref="A1">
        <filterColumn colId="0">
          <customFilters and="1">
            <customFilter operator="greaterThanOrEqual" val="45992"/>
            <customFilter operator="lessThanOrEqual" val="460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ข้อมูลภายนอก_1" connectionId="1" autoFormatId="0" applyNumberFormats="0" applyBorderFormats="0" applyFontFormats="1" applyPatternFormats="1" applyAlignmentFormats="0" applyWidthHeightFormats="0">
  <queryTableRefresh preserveSortFilterLayout="0" nextId="30">
    <queryTableFields count="16">
      <queryTableField id="1" name="วันที่" tableColumnId="29"/>
      <queryTableField id="2" name="Soft Mark Up" tableColumnId="30"/>
      <queryTableField id="3" name="มิเตอร์น้ำ Boiler" tableColumnId="31"/>
      <queryTableField id="4" name="น้ำ CONDENSATE กลับ" tableColumnId="32"/>
      <queryTableField id="5" name="Target" tableColumnId="33"/>
      <queryTableField id="6" name="%  condensate " tableColumnId="34"/>
      <queryTableField id="7" name="%DIFF" tableColumnId="35"/>
      <queryTableField id="8" name="CON Return bhs" tableColumnId="36"/>
      <queryTableField id="9" name="condensate bhs%" tableColumnId="37"/>
      <queryTableField id="10" name="CON Return yueli" tableColumnId="38"/>
      <queryTableField id="11" name="condensate yueli%" tableColumnId="39"/>
      <queryTableField id="12" name="ยอดการใช้ Steam BHS" tableColumnId="40"/>
      <queryTableField id="14" name="ยอดการใช้ Steam YUELI" tableColumnId="42"/>
      <queryTableField id="13" name="ยอดการใช้ Steam BHS%" tableColumnId="41"/>
      <queryTableField id="15" name="ยอดการใช้ Steam YUELI%" tableColumnId="43"/>
      <queryTableField id="16" name="รวมยอดใช้สตีม" tableColumnId="44"/>
    </queryTableFields>
    <queryTableDeletedFields count="12">
      <deletedField name="Loss bhs "/>
      <deletedField name="Loss YUELI"/>
      <deletedField name="฿/BHS"/>
      <deletedField name="฿/YUELI"/>
      <deletedField name="ราคาถ่านหิน บาท/ตัน"/>
      <deletedField name="ต้นทุนบาท/วัน"/>
      <deletedField name=" BHS บาท"/>
      <deletedField name=" YUELI บาท"/>
      <deletedField name="out put"/>
      <deletedField name="kg out put รายวัน"/>
      <deletedField name=" BHS บาท/out"/>
      <deletedField name=" YUELI บาท/out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ตัวแบ่งส่วนข้อมูล_วันที่" sourceName="วันที่">
  <pivotTables>
    <pivotTable tabId="2" name="PivotTable4"/>
    <pivotTable tabId="2" name="PivotTable1"/>
    <pivotTable tabId="2" name="PivotTable2"/>
    <pivotTable tabId="2" name="PivotTable3"/>
    <pivotTable tabId="2" name="PivotTable5"/>
  </pivotTables>
  <data>
    <tabular pivotCacheId="1">
      <items count="9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วันที่ 1" cache="ตัวแบ่งส่วนข้อมูล_วันที่" caption="วันที่" startItem="77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ondensate" displayName="Condensate" ref="A1:P101" tableType="queryTable" totalsRowShown="0">
  <tableColumns count="16">
    <tableColumn id="29" uniqueName="29" name="วันที่" queryTableFieldId="1"/>
    <tableColumn id="30" uniqueName="30" name="Soft Mark Up" queryTableFieldId="2"/>
    <tableColumn id="31" uniqueName="31" name="มิเตอร์น้ำ Boiler" queryTableFieldId="3"/>
    <tableColumn id="32" uniqueName="32" name="น้ำ CONDENSATE กลับ" queryTableFieldId="4"/>
    <tableColumn id="33" uniqueName="33" name="Target" queryTableFieldId="5"/>
    <tableColumn id="34" uniqueName="34" name="%  condensate " queryTableFieldId="6"/>
    <tableColumn id="35" uniqueName="35" name="%DIFF" queryTableFieldId="7"/>
    <tableColumn id="36" uniqueName="36" name="CON Return bhs" queryTableFieldId="8"/>
    <tableColumn id="37" uniqueName="37" name="condensate bhs%" queryTableFieldId="9"/>
    <tableColumn id="38" uniqueName="38" name="CON Return yueli" queryTableFieldId="10"/>
    <tableColumn id="39" uniqueName="39" name="condensate yueli%" queryTableFieldId="11"/>
    <tableColumn id="40" uniqueName="40" name="ยอดการใช้ Steam BHS" queryTableFieldId="12"/>
    <tableColumn id="42" uniqueName="42" name="ยอดการใช้ Steam YUELI" queryTableFieldId="14" dataDxfId="0"/>
    <tableColumn id="41" uniqueName="41" name="ยอดการใช้ Steam BHS%" queryTableFieldId="13"/>
    <tableColumn id="43" uniqueName="43" name="ยอดการใช้ Steam YUELI%" queryTableFieldId="15"/>
    <tableColumn id="44" uniqueName="44" name="รวมยอดใช้สตีม" queryTableFieldId="1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ไทม์ไลน์ดั้งเดิม_วันที่" sourceName="วันที่">
  <pivotTables>
    <pivotTable tabId="2" name="PivotTable4"/>
    <pivotTable tabId="2" name="PivotTable1"/>
    <pivotTable tabId="2" name="PivotTable2"/>
    <pivotTable tabId="2" name="PivotTable3"/>
    <pivotTable tabId="2" name="PivotTable5"/>
  </pivotTables>
  <state minimalRefreshVersion="6" lastRefreshVersion="6" pivotCacheId="1" filterType="dateBetween">
    <selection startDate="2025-12-01T00:00:00" endDate="2025-12-09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วันที่" cache="ไทม์ไลน์ดั้งเดิม_วันที่" caption="วันที่" level="3" selectionLevel="3" scrollPosition="2025-11-25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S11"/>
  <sheetViews>
    <sheetView topLeftCell="A4" workbookViewId="0">
      <selection activeCell="Q11" sqref="Q11"/>
    </sheetView>
  </sheetViews>
  <sheetFormatPr defaultRowHeight="14.25"/>
  <cols>
    <col min="1" max="1" width="13.375" bestFit="1" customWidth="1"/>
    <col min="2" max="2" width="13.875" customWidth="1"/>
    <col min="3" max="3" width="15.5" customWidth="1"/>
    <col min="4" max="4" width="22" customWidth="1"/>
    <col min="5" max="5" width="13.375" bestFit="1" customWidth="1"/>
    <col min="6" max="6" width="7.75" customWidth="1"/>
    <col min="7" max="7" width="16.125" bestFit="1" customWidth="1"/>
    <col min="8" max="8" width="13.375" bestFit="1" customWidth="1"/>
    <col min="9" max="9" width="16.625" customWidth="1"/>
    <col min="10" max="10" width="18.625" customWidth="1"/>
    <col min="11" max="11" width="13.375" bestFit="1" customWidth="1"/>
    <col min="12" max="12" width="14.75" bestFit="1" customWidth="1"/>
    <col min="13" max="13" width="13.375" bestFit="1" customWidth="1"/>
    <col min="14" max="14" width="19.25" bestFit="1" customWidth="1"/>
    <col min="16" max="16" width="16.125" bestFit="1" customWidth="1"/>
  </cols>
  <sheetData>
    <row r="3" spans="1:19">
      <c r="A3" s="7" t="s">
        <v>16</v>
      </c>
      <c r="B3" t="s">
        <v>22</v>
      </c>
      <c r="C3" t="s">
        <v>23</v>
      </c>
      <c r="D3" t="s">
        <v>24</v>
      </c>
      <c r="E3" s="7" t="s">
        <v>16</v>
      </c>
      <c r="F3" t="s">
        <v>25</v>
      </c>
      <c r="G3" t="s">
        <v>21</v>
      </c>
      <c r="H3" s="7" t="s">
        <v>16</v>
      </c>
      <c r="I3" t="s">
        <v>19</v>
      </c>
      <c r="J3" t="s">
        <v>20</v>
      </c>
      <c r="K3" s="7" t="s">
        <v>16</v>
      </c>
      <c r="L3" t="s">
        <v>18</v>
      </c>
      <c r="M3" s="7" t="s">
        <v>16</v>
      </c>
      <c r="N3" t="s">
        <v>27</v>
      </c>
      <c r="P3" s="9" t="s">
        <v>26</v>
      </c>
      <c r="Q3" s="12">
        <f>GETPIVOTDATA("%DIFF",$N$3)</f>
        <v>-4.6189990741080988E-2</v>
      </c>
      <c r="R3" s="9"/>
      <c r="S3" s="9"/>
    </row>
    <row r="4" spans="1:19">
      <c r="A4" s="8">
        <v>45992</v>
      </c>
      <c r="B4" s="1">
        <v>15</v>
      </c>
      <c r="C4" s="1">
        <v>91</v>
      </c>
      <c r="D4" s="1">
        <v>76</v>
      </c>
      <c r="E4" s="8">
        <v>45992</v>
      </c>
      <c r="F4" s="10">
        <v>0.8</v>
      </c>
      <c r="G4" s="10">
        <v>0.86757990867559731</v>
      </c>
      <c r="H4" s="8">
        <v>45992</v>
      </c>
      <c r="I4" s="1">
        <v>34.074725274739862</v>
      </c>
      <c r="J4" s="1">
        <v>39.085714285716719</v>
      </c>
      <c r="K4" s="8">
        <v>45992</v>
      </c>
      <c r="L4" s="1">
        <v>87.600000000020373</v>
      </c>
      <c r="M4" s="8">
        <v>45992</v>
      </c>
      <c r="N4" s="10">
        <v>8.4474885844496583E-2</v>
      </c>
      <c r="P4" s="9" t="s">
        <v>25</v>
      </c>
      <c r="Q4" s="10">
        <f>GETPIVOTDATA("Target",$F$3)</f>
        <v>0.8</v>
      </c>
      <c r="R4" s="10"/>
      <c r="S4" s="10"/>
    </row>
    <row r="5" spans="1:19">
      <c r="A5" s="8">
        <v>45993</v>
      </c>
      <c r="B5" s="1">
        <v>20</v>
      </c>
      <c r="C5" s="1">
        <v>60</v>
      </c>
      <c r="D5" s="1">
        <v>40</v>
      </c>
      <c r="E5" s="8">
        <v>45993</v>
      </c>
      <c r="F5" s="10">
        <v>0.8</v>
      </c>
      <c r="G5" s="10">
        <v>0.3734827264239029</v>
      </c>
      <c r="H5" s="8">
        <v>45993</v>
      </c>
      <c r="I5" s="1">
        <v>28.333333333333332</v>
      </c>
      <c r="J5" s="1">
        <v>43.06666666666667</v>
      </c>
      <c r="K5" s="8">
        <v>45993</v>
      </c>
      <c r="L5" s="1">
        <v>107.1</v>
      </c>
      <c r="M5" s="8">
        <v>45993</v>
      </c>
      <c r="N5" s="10">
        <v>-0.53314659197012138</v>
      </c>
      <c r="P5" s="9" t="s">
        <v>21</v>
      </c>
      <c r="Q5" s="10">
        <f>GETPIVOTDATA(" %  condensate ",$E$3)</f>
        <v>0.76304800740713519</v>
      </c>
    </row>
    <row r="6" spans="1:19">
      <c r="A6" s="8">
        <v>45994</v>
      </c>
      <c r="B6" s="1">
        <v>20</v>
      </c>
      <c r="C6" s="1">
        <v>68</v>
      </c>
      <c r="D6" s="1">
        <v>48</v>
      </c>
      <c r="E6" s="8">
        <v>45994</v>
      </c>
      <c r="F6" s="10">
        <v>0.8</v>
      </c>
      <c r="G6" s="10">
        <v>0.44568245125348188</v>
      </c>
      <c r="H6" s="8">
        <v>45994</v>
      </c>
      <c r="I6" s="1">
        <v>30.352941176470587</v>
      </c>
      <c r="J6" s="1">
        <v>45.670588235294126</v>
      </c>
      <c r="K6" s="8">
        <v>45994</v>
      </c>
      <c r="L6" s="1">
        <v>107.7</v>
      </c>
      <c r="M6" s="8">
        <v>45994</v>
      </c>
      <c r="N6" s="10">
        <v>-0.44289693593314772</v>
      </c>
    </row>
    <row r="7" spans="1:19">
      <c r="A7" s="8">
        <v>45995</v>
      </c>
      <c r="B7" s="1">
        <v>20</v>
      </c>
      <c r="C7" s="1">
        <v>97</v>
      </c>
      <c r="D7" s="1">
        <v>77</v>
      </c>
      <c r="E7" s="8">
        <v>45995</v>
      </c>
      <c r="F7" s="10">
        <v>0.8</v>
      </c>
      <c r="G7" s="10">
        <v>0.72436500470378784</v>
      </c>
      <c r="H7" s="8">
        <v>45995</v>
      </c>
      <c r="I7" s="1">
        <v>35.086597938130467</v>
      </c>
      <c r="J7" s="1">
        <v>49.295876288659791</v>
      </c>
      <c r="K7" s="8">
        <v>45995</v>
      </c>
      <c r="L7" s="1">
        <v>106.29999999998253</v>
      </c>
      <c r="M7" s="8">
        <v>45995</v>
      </c>
      <c r="N7" s="10">
        <v>-9.4543744120265255E-2</v>
      </c>
    </row>
    <row r="8" spans="1:19">
      <c r="A8" s="8">
        <v>45996</v>
      </c>
      <c r="B8" s="1">
        <v>19</v>
      </c>
      <c r="C8" s="1">
        <v>84</v>
      </c>
      <c r="D8" s="1">
        <v>65</v>
      </c>
      <c r="E8" s="8">
        <v>45996</v>
      </c>
      <c r="F8" s="10">
        <v>0.8</v>
      </c>
      <c r="G8" s="10">
        <v>0.60018467220683291</v>
      </c>
      <c r="H8" s="8">
        <v>45996</v>
      </c>
      <c r="I8" s="1">
        <v>33.273809523809526</v>
      </c>
      <c r="J8" s="1">
        <v>50.529761904761905</v>
      </c>
      <c r="K8" s="8">
        <v>45996</v>
      </c>
      <c r="L8" s="1">
        <v>108.3</v>
      </c>
      <c r="M8" s="8">
        <v>45996</v>
      </c>
      <c r="N8" s="10">
        <v>-0.24976915974145888</v>
      </c>
    </row>
    <row r="9" spans="1:19">
      <c r="A9" s="8">
        <v>45997</v>
      </c>
      <c r="B9" s="1">
        <v>18</v>
      </c>
      <c r="C9" s="1">
        <v>85</v>
      </c>
      <c r="D9" s="1">
        <v>67</v>
      </c>
      <c r="E9" s="8">
        <v>45997</v>
      </c>
      <c r="F9" s="10">
        <v>0.8</v>
      </c>
      <c r="G9" s="10">
        <v>0.61637534498623359</v>
      </c>
      <c r="H9" s="8">
        <v>45997</v>
      </c>
      <c r="I9" s="1">
        <v>33.421176470583646</v>
      </c>
      <c r="J9" s="1">
        <v>52.259999999999991</v>
      </c>
      <c r="K9" s="8">
        <v>45997</v>
      </c>
      <c r="L9" s="1">
        <v>108.69999999999418</v>
      </c>
      <c r="M9" s="8">
        <v>45997</v>
      </c>
      <c r="N9" s="10">
        <v>-0.22953081876720807</v>
      </c>
    </row>
    <row r="10" spans="1:19">
      <c r="A10" s="8">
        <v>45998</v>
      </c>
      <c r="B10" s="1">
        <v>9</v>
      </c>
      <c r="C10" s="1">
        <v>88</v>
      </c>
      <c r="D10" s="1">
        <v>79</v>
      </c>
      <c r="E10" s="8">
        <v>45998</v>
      </c>
      <c r="F10" s="10">
        <v>0.8</v>
      </c>
      <c r="G10" s="10">
        <v>1.7136659436001103</v>
      </c>
      <c r="H10" s="8">
        <v>45998</v>
      </c>
      <c r="I10" s="1">
        <v>20.10909090911181</v>
      </c>
      <c r="J10" s="1">
        <v>21.27613636363375</v>
      </c>
      <c r="K10" s="8">
        <v>45998</v>
      </c>
      <c r="L10" s="1">
        <v>46.100000000020373</v>
      </c>
      <c r="M10" s="8">
        <v>45998</v>
      </c>
      <c r="N10" s="10">
        <v>1.1420824295001377</v>
      </c>
    </row>
    <row r="11" spans="1:19">
      <c r="A11" s="8" t="s">
        <v>17</v>
      </c>
      <c r="B11" s="1">
        <v>121</v>
      </c>
      <c r="C11" s="1">
        <v>573</v>
      </c>
      <c r="D11" s="1">
        <v>452</v>
      </c>
      <c r="E11" s="8" t="s">
        <v>17</v>
      </c>
      <c r="F11" s="10">
        <v>0.8</v>
      </c>
      <c r="G11" s="10">
        <v>0.76304800740713519</v>
      </c>
      <c r="H11" s="8" t="s">
        <v>17</v>
      </c>
      <c r="I11" s="1">
        <v>214.65167462617922</v>
      </c>
      <c r="J11" s="1">
        <v>301.18474374473294</v>
      </c>
      <c r="K11" s="8" t="s">
        <v>17</v>
      </c>
      <c r="L11" s="1">
        <v>671.80000000001735</v>
      </c>
      <c r="M11" s="8" t="s">
        <v>17</v>
      </c>
      <c r="N11" s="10">
        <v>-4.6189990741080988E-2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1"/>
  <sheetViews>
    <sheetView topLeftCell="A37" workbookViewId="0">
      <selection activeCell="I2" sqref="I2"/>
    </sheetView>
  </sheetViews>
  <sheetFormatPr defaultRowHeight="14.25"/>
  <cols>
    <col min="1" max="21" width="9" style="1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01"/>
  <sheetViews>
    <sheetView tabSelected="1" workbookViewId="0">
      <pane ySplit="1" topLeftCell="A5" activePane="bottomLeft" state="frozen"/>
      <selection pane="bottomLeft" activeCell="O92" sqref="O92"/>
    </sheetView>
  </sheetViews>
  <sheetFormatPr defaultRowHeight="14.25"/>
  <cols>
    <col min="1" max="1" width="13.75" bestFit="1" customWidth="1"/>
    <col min="2" max="2" width="15.375" bestFit="1" customWidth="1"/>
    <col min="3" max="3" width="17" bestFit="1" customWidth="1"/>
    <col min="4" max="4" width="23.5" bestFit="1" customWidth="1"/>
    <col min="5" max="5" width="9.25" bestFit="1" customWidth="1"/>
    <col min="6" max="6" width="17.625" bestFit="1" customWidth="1"/>
    <col min="7" max="7" width="11.875" bestFit="1" customWidth="1"/>
    <col min="8" max="8" width="18.125" bestFit="1" customWidth="1"/>
    <col min="9" max="9" width="20" bestFit="1" customWidth="1"/>
    <col min="10" max="10" width="19.625" bestFit="1" customWidth="1"/>
    <col min="11" max="11" width="21.375" bestFit="1" customWidth="1"/>
    <col min="12" max="12" width="23.5" bestFit="1" customWidth="1"/>
    <col min="13" max="13" width="26" customWidth="1"/>
    <col min="14" max="14" width="25.75" customWidth="1"/>
    <col min="15" max="16" width="27.875" bestFit="1" customWidth="1"/>
    <col min="17" max="17" width="16.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f>'[2]1.บาทต่อการผลิต'!A4</f>
        <v>45901</v>
      </c>
      <c r="B2" s="1">
        <f>VLOOKUP(Condensate[[#This Row],[วันที่]],'[3]TABLE DATA'!$V:$W,2,0)</f>
        <v>10</v>
      </c>
      <c r="C2" s="1">
        <f>[2]มิเตอร์น้ำ!AT3</f>
        <v>64</v>
      </c>
      <c r="D2" s="1">
        <f>Condensate[[#This Row],[มิเตอร์น้ำ Boiler]]-Condensate[[#This Row],[Soft Mark Up]]</f>
        <v>54</v>
      </c>
      <c r="E2" s="3">
        <v>0.8</v>
      </c>
      <c r="F2" s="3">
        <f>IFERROR(Condensate[[#This Row],[น้ำ CONDENSATE กลับ]]/Condensate[[#This Row],[รวมยอดใช้สตีม]],0)</f>
        <v>0.71713147410359257</v>
      </c>
      <c r="G2" s="4">
        <f>(Condensate[[#This Row],[%  condensate ]]-Condensate[[#This Row],[Target]])/80*100</f>
        <v>-0.10358565737050933</v>
      </c>
      <c r="H2" s="5">
        <f>IFERROR(Condensate[[#This Row],[ยอดการใช้ Steam BHS]]*Condensate[[#This Row],[น้ำ CONDENSATE กลับ]]/Condensate[[#This Row],[มิเตอร์น้ำ Boiler]],0)</f>
        <v>40.5</v>
      </c>
      <c r="I2" s="3">
        <f>IFERROR(Condensate[[#This Row],[CON Return bhs]]/Condensate[[#This Row],[ยอดการใช้ Steam BHS]],0)</f>
        <v>0.84375</v>
      </c>
      <c r="J2" s="6">
        <f>IFERROR(Condensate[[#This Row],[ยอดการใช้ Steam YUELI]]*Condensate[[#This Row],[น้ำ CONDENSATE กลับ]]/Condensate[[#This Row],[มิเตอร์น้ำ Boiler]],0)</f>
        <v>23.034374999999386</v>
      </c>
      <c r="K2" s="3">
        <f>IFERROR(Condensate[[#This Row],[CON Return yueli]]/Condensate[[#This Row],[ยอดการใช้ Steam YUELI]],0)</f>
        <v>0.84375</v>
      </c>
      <c r="L2" s="1">
        <f>'[2]ข้อมูลตัด ถ่านหิน'!C6</f>
        <v>48</v>
      </c>
      <c r="M2" s="1">
        <f>'[2]ข้อมูลตัด ถ่านหิน'!D6</f>
        <v>27.299999999999272</v>
      </c>
      <c r="N2" s="3">
        <f>IFERROR(Condensate[[#This Row],[ยอดการใช้ Steam BHS]]*100/Condensate[[#This Row],[รวมยอดใช้สตีม]]/100,0)</f>
        <v>0.63745019920319346</v>
      </c>
      <c r="O2" s="3">
        <f>IFERROR(Condensate[[#This Row],[ยอดการใช้ Steam YUELI]]*100/Condensate[[#This Row],[รวมยอดใช้สตีม]]/100,0)</f>
        <v>0.36254980079680654</v>
      </c>
      <c r="P2" s="1">
        <f>SUM(Condensate[[#This Row],[ยอดการใช้ Steam BHS]:[ยอดการใช้ Steam YUELI]])</f>
        <v>75.299999999999272</v>
      </c>
    </row>
    <row r="3" spans="1:16">
      <c r="A3" s="2">
        <f>'[2]1.บาทต่อการผลิต'!A5</f>
        <v>45902</v>
      </c>
      <c r="B3" s="1">
        <f>VLOOKUP(Condensate[[#This Row],[วันที่]],'[3]TABLE DATA'!$V:$W,2,0)</f>
        <v>21</v>
      </c>
      <c r="C3" s="1">
        <f>[2]มิเตอร์น้ำ!AT4</f>
        <v>91</v>
      </c>
      <c r="D3" s="1">
        <f>Condensate[[#This Row],[มิเตอร์น้ำ Boiler]]-Condensate[[#This Row],[Soft Mark Up]]</f>
        <v>70</v>
      </c>
      <c r="E3" s="3">
        <f>E2</f>
        <v>0.8</v>
      </c>
      <c r="F3" s="3">
        <f>IFERROR(Condensate[[#This Row],[น้ำ CONDENSATE กลับ]]/Condensate[[#This Row],[รวมยอดใช้สตีม]],0)</f>
        <v>0.89058524173042009</v>
      </c>
      <c r="G3" s="4">
        <f>(Condensate[[#This Row],[%  condensate ]]-Condensate[[#This Row],[Target]])/80*100</f>
        <v>0.11323155216302505</v>
      </c>
      <c r="H3" s="5">
        <f>IFERROR(Condensate[[#This Row],[ยอดการใช้ Steam BHS]]*Condensate[[#This Row],[น้ำ CONDENSATE กลับ]]/Condensate[[#This Row],[มิเตอร์น้ำ Boiler]],0)</f>
        <v>32.1538461538372</v>
      </c>
      <c r="I3" s="3">
        <f>IFERROR(Condensate[[#This Row],[CON Return bhs]]/Condensate[[#This Row],[ยอดการใช้ Steam BHS]],0)</f>
        <v>0.76923076923076927</v>
      </c>
      <c r="J3" s="6">
        <f>IFERROR(Condensate[[#This Row],[ยอดการใช้ Steam YUELI]]*Condensate[[#This Row],[น้ำ CONDENSATE กลับ]]/Condensate[[#This Row],[มิเตอร์น้ำ Boiler]],0)</f>
        <v>28.307692307691749</v>
      </c>
      <c r="K3" s="3">
        <f>IFERROR(Condensate[[#This Row],[CON Return yueli]]/Condensate[[#This Row],[ยอดการใช้ Steam YUELI]],0)</f>
        <v>0.76923076923076927</v>
      </c>
      <c r="L3" s="1">
        <f>'[2]ข้อมูลตัด ถ่านหิน'!C7</f>
        <v>41.799999999988358</v>
      </c>
      <c r="M3" s="1">
        <f>'[2]ข้อมูลตัด ถ่านหิน'!D7</f>
        <v>36.799999999999272</v>
      </c>
      <c r="N3" s="3">
        <f>IFERROR(Condensate[[#This Row],[ยอดการใช้ Steam BHS]]*100/Condensate[[#This Row],[รวมยอดใช้สตีม]]/100,0)</f>
        <v>0.53180661577601696</v>
      </c>
      <c r="O3" s="3">
        <f>IFERROR(Condensate[[#This Row],[ยอดการใช้ Steam YUELI]]*100/Condensate[[#This Row],[รวมยอดใช้สตีม]]/100,0)</f>
        <v>0.46819338422398304</v>
      </c>
      <c r="P3" s="1">
        <f>SUM(Condensate[[#This Row],[ยอดการใช้ Steam BHS]:[ยอดการใช้ Steam YUELI]])</f>
        <v>78.599999999987631</v>
      </c>
    </row>
    <row r="4" spans="1:16">
      <c r="A4" s="2">
        <f>'[2]1.บาทต่อการผลิต'!A6</f>
        <v>45903</v>
      </c>
      <c r="B4" s="1">
        <f>VLOOKUP(Condensate[[#This Row],[วันที่]],'[3]TABLE DATA'!$V:$W,2,0)</f>
        <v>22</v>
      </c>
      <c r="C4" s="1">
        <f>[2]มิเตอร์น้ำ!AT5</f>
        <v>87</v>
      </c>
      <c r="D4" s="1">
        <f>Condensate[[#This Row],[มิเตอร์น้ำ Boiler]]-Condensate[[#This Row],[Soft Mark Up]]</f>
        <v>65</v>
      </c>
      <c r="E4" s="3">
        <f t="shared" ref="E4:E67" si="0">E3</f>
        <v>0.8</v>
      </c>
      <c r="F4" s="3">
        <f>IFERROR(Condensate[[#This Row],[น้ำ CONDENSATE กลับ]]/Condensate[[#This Row],[รวมยอดใช้สตีม]],0)</f>
        <v>0.82070707070706317</v>
      </c>
      <c r="G4" s="4">
        <f>(Condensate[[#This Row],[%  condensate ]]-Condensate[[#This Row],[Target]])/80*100</f>
        <v>2.5883838383828905E-2</v>
      </c>
      <c r="H4" s="5">
        <f>IFERROR(Condensate[[#This Row],[ยอดการใช้ Steam BHS]]*Condensate[[#This Row],[น้ำ CONDENSATE กลับ]]/Condensate[[#This Row],[มิเตอร์น้ำ Boiler]],0)</f>
        <v>30.258620689655171</v>
      </c>
      <c r="I4" s="3">
        <f>IFERROR(Condensate[[#This Row],[CON Return bhs]]/Condensate[[#This Row],[ยอดการใช้ Steam BHS]],0)</f>
        <v>0.74712643678160917</v>
      </c>
      <c r="J4" s="6">
        <f>IFERROR(Condensate[[#This Row],[ยอดการใช้ Steam YUELI]]*Condensate[[#This Row],[น้ำ CONDENSATE กลับ]]/Condensate[[#This Row],[มิเตอร์น้ำ Boiler]],0)</f>
        <v>28.913793103448821</v>
      </c>
      <c r="K4" s="3">
        <f>IFERROR(Condensate[[#This Row],[CON Return yueli]]/Condensate[[#This Row],[ยอดการใช้ Steam YUELI]],0)</f>
        <v>0.74712643678160928</v>
      </c>
      <c r="L4" s="1">
        <f>'[2]ข้อมูลตัด ถ่านหิน'!C8</f>
        <v>40.5</v>
      </c>
      <c r="M4" s="1">
        <f>'[2]ข้อมูลตัด ถ่านหิน'!D8</f>
        <v>38.700000000000728</v>
      </c>
      <c r="N4" s="3">
        <f>IFERROR(Condensate[[#This Row],[ยอดการใช้ Steam BHS]]*100/Condensate[[#This Row],[รวมยอดใช้สตีม]]/100,0)</f>
        <v>0.51136363636363169</v>
      </c>
      <c r="O4" s="3">
        <f>IFERROR(Condensate[[#This Row],[ยอดการใช้ Steam YUELI]]*100/Condensate[[#This Row],[รวมยอดใช้สตีม]]/100,0)</f>
        <v>0.48863636363636836</v>
      </c>
      <c r="P4" s="1">
        <f>SUM(Condensate[[#This Row],[ยอดการใช้ Steam BHS]:[ยอดการใช้ Steam YUELI]])</f>
        <v>79.200000000000728</v>
      </c>
    </row>
    <row r="5" spans="1:16">
      <c r="A5" s="2">
        <f>'[2]1.บาทต่อการผลิต'!A7</f>
        <v>45904</v>
      </c>
      <c r="B5" s="1">
        <f>VLOOKUP(Condensate[[#This Row],[วันที่]],'[3]TABLE DATA'!$V:$W,2,0)</f>
        <v>19</v>
      </c>
      <c r="C5" s="1">
        <f>[2]มิเตอร์น้ำ!AT6</f>
        <v>101</v>
      </c>
      <c r="D5" s="1">
        <f>Condensate[[#This Row],[มิเตอร์น้ำ Boiler]]-Condensate[[#This Row],[Soft Mark Up]]</f>
        <v>82</v>
      </c>
      <c r="E5" s="3">
        <f t="shared" si="0"/>
        <v>0.8</v>
      </c>
      <c r="F5" s="3">
        <f>IFERROR(Condensate[[#This Row],[น้ำ CONDENSATE กลับ]]/Condensate[[#This Row],[รวมยอดใช้สตีม]],0)</f>
        <v>0.81836327345314142</v>
      </c>
      <c r="G5" s="4">
        <f>(Condensate[[#This Row],[%  condensate ]]-Condensate[[#This Row],[Target]])/80*100</f>
        <v>2.2954091816426714E-2</v>
      </c>
      <c r="H5" s="5">
        <f>IFERROR(Condensate[[#This Row],[ยอดการใช้ Steam BHS]]*Condensate[[#This Row],[น้ำ CONDENSATE กลับ]]/Condensate[[#This Row],[มิเตอร์น้ำ Boiler]],0)</f>
        <v>32.799999999995272</v>
      </c>
      <c r="I5" s="3">
        <f>IFERROR(Condensate[[#This Row],[CON Return bhs]]/Condensate[[#This Row],[ยอดการใช้ Steam BHS]],0)</f>
        <v>0.81188118811881183</v>
      </c>
      <c r="J5" s="6">
        <f>IFERROR(Condensate[[#This Row],[ยอดการใช้ Steam YUELI]]*Condensate[[#This Row],[น้ำ CONDENSATE กลับ]]/Condensate[[#This Row],[มิเตอร์น้ำ Boiler]],0)</f>
        <v>48.550495049504946</v>
      </c>
      <c r="K5" s="3">
        <f>IFERROR(Condensate[[#This Row],[CON Return yueli]]/Condensate[[#This Row],[ยอดการใช้ Steam YUELI]],0)</f>
        <v>0.81188118811881183</v>
      </c>
      <c r="L5" s="1">
        <f>'[2]ข้อมูลตัด ถ่านหิน'!C9</f>
        <v>40.399999999994179</v>
      </c>
      <c r="M5" s="1">
        <f>'[2]ข้อมูลตัด ถ่านหิน'!D9</f>
        <v>59.8</v>
      </c>
      <c r="N5" s="3">
        <f>IFERROR(Condensate[[#This Row],[ยอดการใช้ Steam BHS]]*100/Condensate[[#This Row],[รวมยอดใช้สตีม]]/100,0)</f>
        <v>0.40319361277441645</v>
      </c>
      <c r="O5" s="3">
        <f>IFERROR(Condensate[[#This Row],[ยอดการใช้ Steam YUELI]]*100/Condensate[[#This Row],[รวมยอดใช้สตีม]]/100,0)</f>
        <v>0.59680638722558355</v>
      </c>
      <c r="P5" s="1">
        <f>SUM(Condensate[[#This Row],[ยอดการใช้ Steam BHS]:[ยอดการใช้ Steam YUELI]])</f>
        <v>100.19999999999418</v>
      </c>
    </row>
    <row r="6" spans="1:16">
      <c r="A6" s="2">
        <f>'[2]1.บาทต่อการผลิต'!A8</f>
        <v>45905</v>
      </c>
      <c r="B6" s="1">
        <f>VLOOKUP(Condensate[[#This Row],[วันที่]],'[3]TABLE DATA'!$V:$W,2,0)</f>
        <v>21</v>
      </c>
      <c r="C6" s="1">
        <f>[2]มิเตอร์น้ำ!AT7</f>
        <v>86</v>
      </c>
      <c r="D6" s="1">
        <f>Condensate[[#This Row],[มิเตอร์น้ำ Boiler]]-Condensate[[#This Row],[Soft Mark Up]]</f>
        <v>65</v>
      </c>
      <c r="E6" s="3">
        <f t="shared" si="0"/>
        <v>0.8</v>
      </c>
      <c r="F6" s="3">
        <f>IFERROR(Condensate[[#This Row],[น้ำ CONDENSATE กลับ]]/Condensate[[#This Row],[รวมยอดใช้สตีม]],0)</f>
        <v>0.83226632522400967</v>
      </c>
      <c r="G6" s="4">
        <f>(Condensate[[#This Row],[%  condensate ]]-Condensate[[#This Row],[Target]])/80*100</f>
        <v>4.0332906530012036E-2</v>
      </c>
      <c r="H6" s="5">
        <f>IFERROR(Condensate[[#This Row],[ยอดการใช้ Steam BHS]]*Condensate[[#This Row],[น้ำ CONDENSATE กลับ]]/Condensate[[#This Row],[มิเตอร์น้ำ Boiler]],0)</f>
        <v>30.686046511632306</v>
      </c>
      <c r="I6" s="3">
        <f>IFERROR(Condensate[[#This Row],[CON Return bhs]]/Condensate[[#This Row],[ยอดการใช้ Steam BHS]],0)</f>
        <v>0.7558139534883721</v>
      </c>
      <c r="J6" s="6">
        <f>IFERROR(Condensate[[#This Row],[ยอดการใช้ Steam YUELI]]*Condensate[[#This Row],[น้ำ CONDENSATE กลับ]]/Condensate[[#This Row],[มิเตอร์น้ำ Boiler]],0)</f>
        <v>28.343023255813954</v>
      </c>
      <c r="K6" s="3">
        <f>IFERROR(Condensate[[#This Row],[CON Return yueli]]/Condensate[[#This Row],[ยอดการใช้ Steam YUELI]],0)</f>
        <v>0.7558139534883721</v>
      </c>
      <c r="L6" s="1">
        <f>'[2]ข้อมูลตัด ถ่านหิน'!C10</f>
        <v>40.600000000005821</v>
      </c>
      <c r="M6" s="1">
        <f>'[2]ข้อมูลตัด ถ่านหิน'!D10</f>
        <v>37.5</v>
      </c>
      <c r="N6" s="3">
        <f>IFERROR(Condensate[[#This Row],[ยอดการใช้ Steam BHS]]*100/Condensate[[#This Row],[รวมยอดใช้สตีม]]/100,0)</f>
        <v>0.51984635083230213</v>
      </c>
      <c r="O6" s="3">
        <f>IFERROR(Condensate[[#This Row],[ยอดการใช้ Steam YUELI]]*100/Condensate[[#This Row],[รวมยอดใช้สตีม]]/100,0)</f>
        <v>0.48015364916769793</v>
      </c>
      <c r="P6" s="1">
        <f>SUM(Condensate[[#This Row],[ยอดการใช้ Steam BHS]:[ยอดการใช้ Steam YUELI]])</f>
        <v>78.100000000005821</v>
      </c>
    </row>
    <row r="7" spans="1:16">
      <c r="A7" s="2">
        <f>'[2]1.บาทต่อการผลิต'!A9</f>
        <v>45906</v>
      </c>
      <c r="B7" s="1">
        <f>VLOOKUP(Condensate[[#This Row],[วันที่]],'[3]TABLE DATA'!$V:$W,2,0)</f>
        <v>20</v>
      </c>
      <c r="C7" s="1">
        <f>[2]มิเตอร์น้ำ!AT8</f>
        <v>106</v>
      </c>
      <c r="D7" s="1">
        <f>Condensate[[#This Row],[มิเตอร์น้ำ Boiler]]-Condensate[[#This Row],[Soft Mark Up]]</f>
        <v>86</v>
      </c>
      <c r="E7" s="3">
        <f t="shared" si="0"/>
        <v>0.8</v>
      </c>
      <c r="F7" s="3">
        <f>IFERROR(Condensate[[#This Row],[น้ำ CONDENSATE กลับ]]/Condensate[[#This Row],[รวมยอดใช้สตีม]],0)</f>
        <v>0.81362346262999552</v>
      </c>
      <c r="G7" s="4">
        <f>(Condensate[[#This Row],[%  condensate ]]-Condensate[[#This Row],[Target]])/80*100</f>
        <v>1.7029328287494344E-2</v>
      </c>
      <c r="H7" s="5">
        <f>IFERROR(Condensate[[#This Row],[ยอดการใช้ Steam BHS]]*Condensate[[#This Row],[น้ำ CONDENSATE กลับ]]/Condensate[[#This Row],[มิเตอร์น้ำ Boiler]],0)</f>
        <v>32.209433962273593</v>
      </c>
      <c r="I7" s="3">
        <f>IFERROR(Condensate[[#This Row],[CON Return bhs]]/Condensate[[#This Row],[ยอดการใช้ Steam BHS]],0)</f>
        <v>0.81132075471698106</v>
      </c>
      <c r="J7" s="6">
        <f>IFERROR(Condensate[[#This Row],[ยอดการใช้ Steam YUELI]]*Condensate[[#This Row],[น้ำ CONDENSATE กลับ]]/Condensate[[#This Row],[มิเตอร์น้ำ Boiler]],0)</f>
        <v>53.547169811320757</v>
      </c>
      <c r="K7" s="3">
        <f>IFERROR(Condensate[[#This Row],[CON Return yueli]]/Condensate[[#This Row],[ยอดการใช้ Steam YUELI]],0)</f>
        <v>0.81132075471698117</v>
      </c>
      <c r="L7" s="1">
        <f>'[2]ข้อมูลตัด ถ่านหิน'!C11</f>
        <v>39.700000000011642</v>
      </c>
      <c r="M7" s="1">
        <f>'[2]ข้อมูลตัด ถ่านหิน'!D11</f>
        <v>66</v>
      </c>
      <c r="N7" s="3">
        <f>IFERROR(Condensate[[#This Row],[ยอดการใช้ Steam BHS]]*100/Condensate[[#This Row],[รวมยอดใช้สตีม]]/100,0)</f>
        <v>0.37559129612116621</v>
      </c>
      <c r="O7" s="3">
        <f>IFERROR(Condensate[[#This Row],[ยอดการใช้ Steam YUELI]]*100/Condensate[[#This Row],[รวมยอดใช้สตีม]]/100,0)</f>
        <v>0.62440870387883374</v>
      </c>
      <c r="P7" s="1">
        <f>SUM(Condensate[[#This Row],[ยอดการใช้ Steam BHS]:[ยอดการใช้ Steam YUELI]])</f>
        <v>105.70000000001164</v>
      </c>
    </row>
    <row r="8" spans="1:16">
      <c r="A8" s="2">
        <f>'[2]1.บาทต่อการผลิต'!A10</f>
        <v>45907</v>
      </c>
      <c r="B8" s="1">
        <f>VLOOKUP(Condensate[[#This Row],[วันที่]],'[3]TABLE DATA'!$V:$W,2,0)</f>
        <v>15</v>
      </c>
      <c r="C8" s="1">
        <f>[2]มิเตอร์น้ำ!AT9</f>
        <v>36</v>
      </c>
      <c r="D8" s="1">
        <f>Condensate[[#This Row],[มิเตอร์น้ำ Boiler]]-Condensate[[#This Row],[Soft Mark Up]]</f>
        <v>21</v>
      </c>
      <c r="E8" s="3">
        <f t="shared" si="0"/>
        <v>0.8</v>
      </c>
      <c r="F8" s="3">
        <f>IFERROR(Condensate[[#This Row],[น้ำ CONDENSATE กลับ]]/Condensate[[#This Row],[รวมยอดใช้สตีม]],0)</f>
        <v>0.64220183486251392</v>
      </c>
      <c r="G8" s="4">
        <f>(Condensate[[#This Row],[%  condensate ]]-Condensate[[#This Row],[Target]])/80*100</f>
        <v>-0.19724770642185765</v>
      </c>
      <c r="H8" s="5">
        <f>IFERROR(Condensate[[#This Row],[ยอดการใช้ Steam BHS]]*Condensate[[#This Row],[น้ำ CONDENSATE กลับ]]/Condensate[[#This Row],[มิเตอร์น้ำ Boiler]],0)</f>
        <v>11.316666666663272</v>
      </c>
      <c r="I8" s="3">
        <f>IFERROR(Condensate[[#This Row],[CON Return bhs]]/Condensate[[#This Row],[ยอดการใช้ Steam BHS]],0)</f>
        <v>0.58333333333333337</v>
      </c>
      <c r="J8" s="6">
        <f>IFERROR(Condensate[[#This Row],[ยอดการใช้ Steam YUELI]]*Condensate[[#This Row],[น้ำ CONDENSATE กลับ]]/Condensate[[#This Row],[มิเตอร์น้ำ Boiler]],0)</f>
        <v>7.7583333333329092</v>
      </c>
      <c r="K8" s="3">
        <f>IFERROR(Condensate[[#This Row],[CON Return yueli]]/Condensate[[#This Row],[ยอดการใช้ Steam YUELI]],0)</f>
        <v>0.58333333333333337</v>
      </c>
      <c r="L8" s="1">
        <f>'[2]ข้อมูลตัด ถ่านหิน'!C12</f>
        <v>19.399999999994179</v>
      </c>
      <c r="M8" s="1">
        <f>'[2]ข้อมูลตัด ถ่านหิน'!D12</f>
        <v>13.299999999999272</v>
      </c>
      <c r="N8" s="3">
        <f>IFERROR(Condensate[[#This Row],[ยอดการใช้ Steam BHS]]*100/Condensate[[#This Row],[รวมยอดใช้สตีม]]/100,0)</f>
        <v>0.59327217125376341</v>
      </c>
      <c r="O8" s="3">
        <f>IFERROR(Condensate[[#This Row],[ยอดการใช้ Steam YUELI]]*100/Condensate[[#This Row],[รวมยอดใช้สตีม]]/100,0)</f>
        <v>0.40672782874623659</v>
      </c>
      <c r="P8" s="1">
        <f>SUM(Condensate[[#This Row],[ยอดการใช้ Steam BHS]:[ยอดการใช้ Steam YUELI]])</f>
        <v>32.699999999993452</v>
      </c>
    </row>
    <row r="9" spans="1:16">
      <c r="A9" s="2">
        <f>'[2]1.บาทต่อการผลิต'!A11</f>
        <v>45908</v>
      </c>
      <c r="B9" s="1">
        <f>VLOOKUP(Condensate[[#This Row],[วันที่]],'[3]TABLE DATA'!$V:$W,2,0)</f>
        <v>8</v>
      </c>
      <c r="C9" s="1">
        <f>[2]มิเตอร์น้ำ!AT10</f>
        <v>82</v>
      </c>
      <c r="D9" s="1">
        <f>Condensate[[#This Row],[มิเตอร์น้ำ Boiler]]-Condensate[[#This Row],[Soft Mark Up]]</f>
        <v>74</v>
      </c>
      <c r="E9" s="3">
        <f t="shared" si="0"/>
        <v>0.8</v>
      </c>
      <c r="F9" s="3">
        <f>IFERROR(Condensate[[#This Row],[น้ำ CONDENSATE กลับ]]/Condensate[[#This Row],[รวมยอดใช้สตีม]],0)</f>
        <v>1.0393258426965444</v>
      </c>
      <c r="G9" s="4">
        <f>(Condensate[[#This Row],[%  condensate ]]-Condensate[[#This Row],[Target]])/80*100</f>
        <v>0.29915730337068042</v>
      </c>
      <c r="H9" s="5">
        <f>IFERROR(Condensate[[#This Row],[ยอดการใช้ Steam BHS]]*Condensate[[#This Row],[น้ำ CONDENSATE กลับ]]/Condensate[[#This Row],[มิเตอร์น้ำ Boiler]],0)</f>
        <v>27.614634146346717</v>
      </c>
      <c r="I9" s="3">
        <f>IFERROR(Condensate[[#This Row],[CON Return bhs]]/Condensate[[#This Row],[ยอดการใช้ Steam BHS]],0)</f>
        <v>0.90243902439024393</v>
      </c>
      <c r="J9" s="6">
        <f>IFERROR(Condensate[[#This Row],[ยอดการใช้ Steam YUELI]]*Condensate[[#This Row],[น้ำ CONDENSATE กลับ]]/Condensate[[#This Row],[มิเตอร์น้ำ Boiler]],0)</f>
        <v>36.639024390243904</v>
      </c>
      <c r="K9" s="3">
        <f>IFERROR(Condensate[[#This Row],[CON Return yueli]]/Condensate[[#This Row],[ยอดการใช้ Steam YUELI]],0)</f>
        <v>0.90243902439024393</v>
      </c>
      <c r="L9" s="1">
        <f>'[2]ข้อมูลตัด ถ่านหิน'!C13</f>
        <v>30.600000000005821</v>
      </c>
      <c r="M9" s="1">
        <f>'[2]ข้อมูลตัด ถ่านหิน'!D13</f>
        <v>40.6</v>
      </c>
      <c r="N9" s="3">
        <f>IFERROR(Condensate[[#This Row],[ยอดการใช้ Steam BHS]]*100/Condensate[[#This Row],[รวมยอดใช้สตีม]]/100,0)</f>
        <v>0.42977528089892303</v>
      </c>
      <c r="O9" s="3">
        <f>IFERROR(Condensate[[#This Row],[ยอดการใช้ Steam YUELI]]*100/Condensate[[#This Row],[รวมยอดใช้สตีม]]/100,0)</f>
        <v>0.57022471910107708</v>
      </c>
      <c r="P9" s="1">
        <f>SUM(Condensate[[#This Row],[ยอดการใช้ Steam BHS]:[ยอดการใช้ Steam YUELI]])</f>
        <v>71.200000000005815</v>
      </c>
    </row>
    <row r="10" spans="1:16">
      <c r="A10" s="2">
        <f>'[2]1.บาทต่อการผลิต'!A12</f>
        <v>45909</v>
      </c>
      <c r="B10" s="1">
        <f>VLOOKUP(Condensate[[#This Row],[วันที่]],'[3]TABLE DATA'!$V:$W,2,0)</f>
        <v>21</v>
      </c>
      <c r="C10" s="1">
        <f>[2]มิเตอร์น้ำ!AT11</f>
        <v>90</v>
      </c>
      <c r="D10" s="1">
        <f>Condensate[[#This Row],[มิเตอร์น้ำ Boiler]]-Condensate[[#This Row],[Soft Mark Up]]</f>
        <v>69</v>
      </c>
      <c r="E10" s="3">
        <f t="shared" si="0"/>
        <v>0.8</v>
      </c>
      <c r="F10" s="3">
        <f>IFERROR(Condensate[[#This Row],[น้ำ CONDENSATE กลับ]]/Condensate[[#This Row],[รวมยอดใช้สตีม]],0)</f>
        <v>0.85501858736058711</v>
      </c>
      <c r="G10" s="4">
        <f>(Condensate[[#This Row],[%  condensate ]]-Condensate[[#This Row],[Target]])/80*100</f>
        <v>6.8773234200733835E-2</v>
      </c>
      <c r="H10" s="5">
        <f>IFERROR(Condensate[[#This Row],[ยอดการใช้ Steam BHS]]*Condensate[[#This Row],[น้ำ CONDENSATE กลับ]]/Condensate[[#This Row],[มิเตอร์น้ำ Boiler]],0)</f>
        <v>31.05</v>
      </c>
      <c r="I10" s="3">
        <f>IFERROR(Condensate[[#This Row],[CON Return bhs]]/Condensate[[#This Row],[ยอดการใช้ Steam BHS]],0)</f>
        <v>0.76666666666666672</v>
      </c>
      <c r="J10" s="6">
        <f>IFERROR(Condensate[[#This Row],[ยอดการใช้ Steam YUELI]]*Condensate[[#This Row],[น้ำ CONDENSATE กลับ]]/Condensate[[#This Row],[มิเตอร์น้ำ Boiler]],0)</f>
        <v>30.820000000000558</v>
      </c>
      <c r="K10" s="3">
        <f>IFERROR(Condensate[[#This Row],[CON Return yueli]]/Condensate[[#This Row],[ยอดการใช้ Steam YUELI]],0)</f>
        <v>0.76666666666666672</v>
      </c>
      <c r="L10" s="1">
        <f>'[2]ข้อมูลตัด ถ่านหิน'!C14</f>
        <v>40.5</v>
      </c>
      <c r="M10" s="1">
        <f>'[2]ข้อมูลตัด ถ่านหิน'!D14</f>
        <v>40.200000000000728</v>
      </c>
      <c r="N10" s="3">
        <f>IFERROR(Condensate[[#This Row],[ยอดการใช้ Steam BHS]]*100/Condensate[[#This Row],[รวมยอดใช้สตีม]]/100,0)</f>
        <v>0.50185873605947506</v>
      </c>
      <c r="O10" s="3">
        <f>IFERROR(Condensate[[#This Row],[ยอดการใช้ Steam YUELI]]*100/Condensate[[#This Row],[รวมยอดใช้สตีม]]/100,0)</f>
        <v>0.49814126394052494</v>
      </c>
      <c r="P10" s="1">
        <f>SUM(Condensate[[#This Row],[ยอดการใช้ Steam BHS]:[ยอดการใช้ Steam YUELI]])</f>
        <v>80.700000000000728</v>
      </c>
    </row>
    <row r="11" spans="1:16">
      <c r="A11" s="2">
        <f>'[2]1.บาทต่อการผลิต'!A13</f>
        <v>45910</v>
      </c>
      <c r="B11" s="1">
        <f>VLOOKUP(Condensate[[#This Row],[วันที่]],'[3]TABLE DATA'!$V:$W,2,0)</f>
        <v>19</v>
      </c>
      <c r="C11" s="1">
        <f>[2]มิเตอร์น้ำ!AT12</f>
        <v>89</v>
      </c>
      <c r="D11" s="1">
        <f>Condensate[[#This Row],[มิเตอร์น้ำ Boiler]]-Condensate[[#This Row],[Soft Mark Up]]</f>
        <v>70</v>
      </c>
      <c r="E11" s="3">
        <f t="shared" si="0"/>
        <v>0.8</v>
      </c>
      <c r="F11" s="3">
        <f>IFERROR(Condensate[[#This Row],[น้ำ CONDENSATE กลับ]]/Condensate[[#This Row],[รวมยอดใช้สตีม]],0)</f>
        <v>0.85470085470080159</v>
      </c>
      <c r="G11" s="4">
        <f>(Condensate[[#This Row],[%  condensate ]]-Condensate[[#This Row],[Target]])/80*100</f>
        <v>6.8376068376001936E-2</v>
      </c>
      <c r="H11" s="5">
        <f>IFERROR(Condensate[[#This Row],[ยอดการใช้ Steam BHS]]*Condensate[[#This Row],[น้ำ CONDENSATE กลับ]]/Condensate[[#This Row],[มิเตอร์น้ำ Boiler]],0)</f>
        <v>31.539325842701206</v>
      </c>
      <c r="I11" s="3">
        <f>IFERROR(Condensate[[#This Row],[CON Return bhs]]/Condensate[[#This Row],[ยอดการใช้ Steam BHS]],0)</f>
        <v>0.78651685393258419</v>
      </c>
      <c r="J11" s="6">
        <f>IFERROR(Condensate[[#This Row],[ยอดการใช้ Steam YUELI]]*Condensate[[#This Row],[น้ำ CONDENSATE กลับ]]/Condensate[[#This Row],[มิเตอร์น้ำ Boiler]],0)</f>
        <v>32.876404494381447</v>
      </c>
      <c r="K11" s="3">
        <f>IFERROR(Condensate[[#This Row],[CON Return yueli]]/Condensate[[#This Row],[ยอดการใช้ Steam YUELI]],0)</f>
        <v>0.78651685393258419</v>
      </c>
      <c r="L11" s="1">
        <f>'[2]ข้อมูลตัด ถ่านหิน'!C15</f>
        <v>40.100000000005821</v>
      </c>
      <c r="M11" s="1">
        <f>'[2]ข้อมูลตัด ถ่านหิน'!D15</f>
        <v>41.799999999999272</v>
      </c>
      <c r="N11" s="3">
        <f>IFERROR(Condensate[[#This Row],[ยอดการใช้ Steam BHS]]*100/Condensate[[#This Row],[รวมยอดใช้สตีม]]/100,0)</f>
        <v>0.48962148962153024</v>
      </c>
      <c r="O11" s="3">
        <f>IFERROR(Condensate[[#This Row],[ยอดการใช้ Steam YUELI]]*100/Condensate[[#This Row],[รวมยอดใช้สตีม]]/100,0)</f>
        <v>0.51037851037846982</v>
      </c>
      <c r="P11" s="1">
        <f>SUM(Condensate[[#This Row],[ยอดการใช้ Steam BHS]:[ยอดการใช้ Steam YUELI]])</f>
        <v>81.900000000005093</v>
      </c>
    </row>
    <row r="12" spans="1:16">
      <c r="A12" s="2">
        <f>'[2]1.บาทต่อการผลิต'!A14</f>
        <v>45911</v>
      </c>
      <c r="B12" s="1">
        <f>VLOOKUP(Condensate[[#This Row],[วันที่]],'[3]TABLE DATA'!$V:$W,2,0)</f>
        <v>19</v>
      </c>
      <c r="C12" s="1">
        <f>[2]มิเตอร์น้ำ!AT13</f>
        <v>86</v>
      </c>
      <c r="D12" s="1">
        <f>Condensate[[#This Row],[มิเตอร์น้ำ Boiler]]-Condensate[[#This Row],[Soft Mark Up]]</f>
        <v>67</v>
      </c>
      <c r="E12" s="3">
        <f t="shared" si="0"/>
        <v>0.8</v>
      </c>
      <c r="F12" s="3">
        <f>IFERROR(Condensate[[#This Row],[น้ำ CONDENSATE กลับ]]/Condensate[[#This Row],[รวมยอดใช้สตีม]],0)</f>
        <v>0.85677749360628952</v>
      </c>
      <c r="G12" s="4">
        <f>(Condensate[[#This Row],[%  condensate ]]-Condensate[[#This Row],[Target]])/80*100</f>
        <v>7.0971867007861844E-2</v>
      </c>
      <c r="H12" s="5">
        <f>IFERROR(Condensate[[#This Row],[ยอดการใช้ Steam BHS]]*Condensate[[#This Row],[น้ำ CONDENSATE กลับ]]/Condensate[[#This Row],[มิเตอร์น้ำ Boiler]],0)</f>
        <v>31.786046511618839</v>
      </c>
      <c r="I12" s="3">
        <f>IFERROR(Condensate[[#This Row],[CON Return bhs]]/Condensate[[#This Row],[ยอดการใช้ Steam BHS]],0)</f>
        <v>0.77906976744186052</v>
      </c>
      <c r="J12" s="6">
        <f>IFERROR(Condensate[[#This Row],[ยอดการใช้ Steam YUELI]]*Condensate[[#This Row],[น้ำ CONDENSATE กลับ]]/Condensate[[#This Row],[มิเตอร์น้ำ Boiler]],0)</f>
        <v>29.137209302323882</v>
      </c>
      <c r="K12" s="3">
        <f>IFERROR(Condensate[[#This Row],[CON Return yueli]]/Condensate[[#This Row],[ยอดการใช้ Steam YUELI]],0)</f>
        <v>0.77906976744186052</v>
      </c>
      <c r="L12" s="1">
        <f>'[2]ข้อมูลตัด ถ่านหิน'!C16</f>
        <v>40.799999999988358</v>
      </c>
      <c r="M12" s="1">
        <f>'[2]ข้อมูลตัด ถ่านหิน'!D16</f>
        <v>37.399999999997817</v>
      </c>
      <c r="N12" s="3">
        <f>IFERROR(Condensate[[#This Row],[ยอดการใช้ Steam BHS]]*100/Condensate[[#This Row],[รวมยอดใช้สตีม]]/100,0)</f>
        <v>0.52173913043472597</v>
      </c>
      <c r="O12" s="3">
        <f>IFERROR(Condensate[[#This Row],[ยอดการใช้ Steam YUELI]]*100/Condensate[[#This Row],[รวมยอดใช้สตีม]]/100,0)</f>
        <v>0.47826086956527403</v>
      </c>
      <c r="P12" s="1">
        <f>SUM(Condensate[[#This Row],[ยอดการใช้ Steam BHS]:[ยอดการใช้ Steam YUELI]])</f>
        <v>78.199999999986176</v>
      </c>
    </row>
    <row r="13" spans="1:16">
      <c r="A13" s="2">
        <f>'[2]1.บาทต่อการผลิต'!A15</f>
        <v>45912</v>
      </c>
      <c r="B13" s="1">
        <f>VLOOKUP(Condensate[[#This Row],[วันที่]],'[3]TABLE DATA'!$V:$W,2,0)</f>
        <v>19</v>
      </c>
      <c r="C13" s="1">
        <f>[2]มิเตอร์น้ำ!AT14</f>
        <v>86</v>
      </c>
      <c r="D13" s="1">
        <f>Condensate[[#This Row],[มิเตอร์น้ำ Boiler]]-Condensate[[#This Row],[Soft Mark Up]]</f>
        <v>67</v>
      </c>
      <c r="E13" s="3">
        <f t="shared" si="0"/>
        <v>0.8</v>
      </c>
      <c r="F13" s="3">
        <f>IFERROR(Condensate[[#This Row],[น้ำ CONDENSATE กลับ]]/Condensate[[#This Row],[รวมยอดใช้สตีม]],0)</f>
        <v>0.8427672955976</v>
      </c>
      <c r="G13" s="4">
        <f>(Condensate[[#This Row],[%  condensate ]]-Condensate[[#This Row],[Target]])/80*100</f>
        <v>5.3459119496999941E-2</v>
      </c>
      <c r="H13" s="5">
        <f>IFERROR(Condensate[[#This Row],[ยอดการใช้ Steam BHS]]*Condensate[[#This Row],[น้ำ CONDENSATE กลับ]]/Condensate[[#This Row],[มิเตอร์น้ำ Boiler]],0)</f>
        <v>31.786046511618839</v>
      </c>
      <c r="I13" s="3">
        <f>IFERROR(Condensate[[#This Row],[CON Return bhs]]/Condensate[[#This Row],[ยอดการใช้ Steam BHS]],0)</f>
        <v>0.77906976744186052</v>
      </c>
      <c r="J13" s="6">
        <f>IFERROR(Condensate[[#This Row],[ยอดการใช้ Steam YUELI]]*Condensate[[#This Row],[น้ำ CONDENSATE กลับ]]/Condensate[[#This Row],[มิเตอร์น้ำ Boiler]],0)</f>
        <v>30.150000000000567</v>
      </c>
      <c r="K13" s="3">
        <f>IFERROR(Condensate[[#This Row],[CON Return yueli]]/Condensate[[#This Row],[ยอดการใช้ Steam YUELI]],0)</f>
        <v>0.77906976744186052</v>
      </c>
      <c r="L13" s="1">
        <f>'[2]ข้อมูลตัด ถ่านหิน'!C17</f>
        <v>40.799999999988358</v>
      </c>
      <c r="M13" s="1">
        <f>'[2]ข้อมูลตัด ถ่านหิน'!D17</f>
        <v>38.700000000000728</v>
      </c>
      <c r="N13" s="3">
        <f>IFERROR(Condensate[[#This Row],[ยอดการใช้ Steam BHS]]*100/Condensate[[#This Row],[รวมยอดใช้สตีม]]/100,0)</f>
        <v>0.51320754716973527</v>
      </c>
      <c r="O13" s="3">
        <f>IFERROR(Condensate[[#This Row],[ยอดการใช้ Steam YUELI]]*100/Condensate[[#This Row],[รวมยอดใช้สตีม]]/100,0)</f>
        <v>0.48679245283026468</v>
      </c>
      <c r="P13" s="1">
        <f>SUM(Condensate[[#This Row],[ยอดการใช้ Steam BHS]:[ยอดการใช้ Steam YUELI]])</f>
        <v>79.499999999989086</v>
      </c>
    </row>
    <row r="14" spans="1:16">
      <c r="A14" s="2">
        <f>'[2]1.บาทต่อการผลิต'!A16</f>
        <v>45913</v>
      </c>
      <c r="B14" s="1">
        <f>VLOOKUP(Condensate[[#This Row],[วันที่]],'[3]TABLE DATA'!$V:$W,2,0)</f>
        <v>19</v>
      </c>
      <c r="C14" s="1">
        <f>[2]มิเตอร์น้ำ!AT15</f>
        <v>100</v>
      </c>
      <c r="D14" s="1">
        <f>Condensate[[#This Row],[มิเตอร์น้ำ Boiler]]-Condensate[[#This Row],[Soft Mark Up]]</f>
        <v>81</v>
      </c>
      <c r="E14" s="3">
        <f t="shared" si="0"/>
        <v>0.8</v>
      </c>
      <c r="F14" s="3">
        <f>IFERROR(Condensate[[#This Row],[น้ำ CONDENSATE กลับ]]/Condensate[[#This Row],[รวมยอดใช้สตีม]],0)</f>
        <v>0.88043478260847285</v>
      </c>
      <c r="G14" s="4">
        <f>(Condensate[[#This Row],[%  condensate ]]-Condensate[[#This Row],[Target]])/80*100</f>
        <v>0.10054347826059101</v>
      </c>
      <c r="H14" s="5">
        <f>IFERROR(Condensate[[#This Row],[ยอดการใช้ Steam BHS]]*Condensate[[#This Row],[น้ำ CONDENSATE กลับ]]/Condensate[[#This Row],[มิเตอร์น้ำ Boiler]],0)</f>
        <v>32.31900000001886</v>
      </c>
      <c r="I14" s="3">
        <f>IFERROR(Condensate[[#This Row],[CON Return bhs]]/Condensate[[#This Row],[ยอดการใช้ Steam BHS]],0)</f>
        <v>0.81</v>
      </c>
      <c r="J14" s="6">
        <f>IFERROR(Condensate[[#This Row],[ยอดการใช้ Steam YUELI]]*Condensate[[#This Row],[น้ำ CONDENSATE กลับ]]/Condensate[[#This Row],[มิเตอร์น้ำ Boiler]],0)</f>
        <v>42.201000000000001</v>
      </c>
      <c r="K14" s="3">
        <f>IFERROR(Condensate[[#This Row],[CON Return yueli]]/Condensate[[#This Row],[ยอดการใช้ Steam YUELI]],0)</f>
        <v>0.80999999999999994</v>
      </c>
      <c r="L14" s="1">
        <f>'[2]ข้อมูลตัด ถ่านหิน'!C18</f>
        <v>39.900000000023283</v>
      </c>
      <c r="M14" s="1">
        <f>'[2]ข้อมูลตัด ถ่านหิน'!D18</f>
        <v>52.1</v>
      </c>
      <c r="N14" s="3">
        <f>IFERROR(Condensate[[#This Row],[ยอดการใช้ Steam BHS]]*100/Condensate[[#This Row],[รวมยอดใช้สตีม]]/100,0)</f>
        <v>0.43369565217405637</v>
      </c>
      <c r="O14" s="3">
        <f>IFERROR(Condensate[[#This Row],[ยอดการใช้ Steam YUELI]]*100/Condensate[[#This Row],[รวมยอดใช้สตีม]]/100,0)</f>
        <v>0.56630434782594374</v>
      </c>
      <c r="P14" s="1">
        <f>SUM(Condensate[[#This Row],[ยอดการใช้ Steam BHS]:[ยอดการใช้ Steam YUELI]])</f>
        <v>92.000000000023277</v>
      </c>
    </row>
    <row r="15" spans="1:16">
      <c r="A15" s="2">
        <f>'[2]1.บาทต่อการผลิต'!A17</f>
        <v>45914</v>
      </c>
      <c r="B15" s="1">
        <f>VLOOKUP(Condensate[[#This Row],[วันที่]],'[3]TABLE DATA'!$V:$W,2,0)</f>
        <v>13</v>
      </c>
      <c r="C15" s="1">
        <f>[2]มิเตอร์น้ำ!AT16</f>
        <v>28</v>
      </c>
      <c r="D15" s="1">
        <f>Condensate[[#This Row],[มิเตอร์น้ำ Boiler]]-Condensate[[#This Row],[Soft Mark Up]]</f>
        <v>15</v>
      </c>
      <c r="E15" s="3">
        <f t="shared" si="0"/>
        <v>0.8</v>
      </c>
      <c r="F15" s="3">
        <f>IFERROR(Condensate[[#This Row],[น้ำ CONDENSATE กลับ]]/Condensate[[#This Row],[รวมยอดใช้สตีม]],0)</f>
        <v>0.51724137931053948</v>
      </c>
      <c r="G15" s="4">
        <f>(Condensate[[#This Row],[%  condensate ]]-Condensate[[#This Row],[Target]])/80*100</f>
        <v>-0.3534482758618257</v>
      </c>
      <c r="H15" s="5">
        <f>IFERROR(Condensate[[#This Row],[ยอดการใช้ Steam BHS]]*Condensate[[#This Row],[น้ำ CONDENSATE กลับ]]/Condensate[[#This Row],[มิเตอร์น้ำ Boiler]],0)</f>
        <v>7.928571428565192</v>
      </c>
      <c r="I15" s="3">
        <f>IFERROR(Condensate[[#This Row],[CON Return bhs]]/Condensate[[#This Row],[ยอดการใช้ Steam BHS]],0)</f>
        <v>0.5357142857142857</v>
      </c>
      <c r="J15" s="6">
        <f>IFERROR(Condensate[[#This Row],[ยอดการใช้ Steam YUELI]]*Condensate[[#This Row],[น้ำ CONDENSATE กลับ]]/Condensate[[#This Row],[มิเตอร์น้ำ Boiler]],0)</f>
        <v>7.6071428571432467</v>
      </c>
      <c r="K15" s="3">
        <f>IFERROR(Condensate[[#This Row],[CON Return yueli]]/Condensate[[#This Row],[ยอดการใช้ Steam YUELI]],0)</f>
        <v>0.5357142857142857</v>
      </c>
      <c r="L15" s="1">
        <f>'[2]ข้อมูลตัด ถ่านหิน'!C19</f>
        <v>14.799999999988358</v>
      </c>
      <c r="M15" s="1">
        <f>'[2]ข้อมูลตัด ถ่านหิน'!D19</f>
        <v>14.200000000000728</v>
      </c>
      <c r="N15" s="3">
        <f>IFERROR(Condensate[[#This Row],[ยอดการใช้ Steam BHS]]*100/Condensate[[#This Row],[รวมยอดใช้สตีม]]/100,0)</f>
        <v>0.51034482758599753</v>
      </c>
      <c r="O15" s="3">
        <f>IFERROR(Condensate[[#This Row],[ยอดการใช้ Steam YUELI]]*100/Condensate[[#This Row],[รวมยอดใช้สตีม]]/100,0)</f>
        <v>0.48965517241400247</v>
      </c>
      <c r="P15" s="1">
        <f>SUM(Condensate[[#This Row],[ยอดการใช้ Steam BHS]:[ยอดการใช้ Steam YUELI]])</f>
        <v>28.999999999989086</v>
      </c>
    </row>
    <row r="16" spans="1:16">
      <c r="A16" s="2">
        <f>'[2]1.บาทต่อการผลิต'!A18</f>
        <v>45915</v>
      </c>
      <c r="B16" s="1">
        <f>VLOOKUP(Condensate[[#This Row],[วันที่]],'[3]TABLE DATA'!$V:$W,2,0)</f>
        <v>7</v>
      </c>
      <c r="C16" s="1">
        <f>[2]มิเตอร์น้ำ!AT17</f>
        <v>84</v>
      </c>
      <c r="D16" s="1">
        <f>Condensate[[#This Row],[มิเตอร์น้ำ Boiler]]-Condensate[[#This Row],[Soft Mark Up]]</f>
        <v>77</v>
      </c>
      <c r="E16" s="3">
        <f t="shared" si="0"/>
        <v>0.8</v>
      </c>
      <c r="F16" s="3">
        <f>IFERROR(Condensate[[#This Row],[น้ำ CONDENSATE กลับ]]/Condensate[[#This Row],[รวมยอดใช้สตีม]],0)</f>
        <v>0.96129837702864429</v>
      </c>
      <c r="G16" s="4">
        <f>(Condensate[[#This Row],[%  condensate ]]-Condensate[[#This Row],[Target]])/80*100</f>
        <v>0.20162297128580531</v>
      </c>
      <c r="H16" s="5">
        <f>IFERROR(Condensate[[#This Row],[ยอดการใช้ Steam BHS]]*Condensate[[#This Row],[น้ำ CONDENSATE กลับ]]/Condensate[[#This Row],[มิเตอร์น้ำ Boiler]],0)</f>
        <v>28.966666666672001</v>
      </c>
      <c r="I16" s="3">
        <f>IFERROR(Condensate[[#This Row],[CON Return bhs]]/Condensate[[#This Row],[ยอดการใช้ Steam BHS]],0)</f>
        <v>0.91666666666666663</v>
      </c>
      <c r="J16" s="6">
        <f>IFERROR(Condensate[[#This Row],[ยอดการใช้ Steam YUELI]]*Condensate[[#This Row],[น้ำ CONDENSATE กลับ]]/Condensate[[#This Row],[มิเตอร์น้ำ Boiler]],0)</f>
        <v>44.458333333333336</v>
      </c>
      <c r="K16" s="3">
        <f>IFERROR(Condensate[[#This Row],[CON Return yueli]]/Condensate[[#This Row],[ยอดการใช้ Steam YUELI]],0)</f>
        <v>0.91666666666666674</v>
      </c>
      <c r="L16" s="1">
        <f>'[2]ข้อมูลตัด ถ่านหิน'!C20</f>
        <v>31.600000000005821</v>
      </c>
      <c r="M16" s="1">
        <f>'[2]ข้อมูลตัด ถ่านหิน'!D20</f>
        <v>48.5</v>
      </c>
      <c r="N16" s="3">
        <f>IFERROR(Condensate[[#This Row],[ยอดการใช้ Steam BHS]]*100/Condensate[[#This Row],[รวมยอดใช้สตีม]]/100,0)</f>
        <v>0.39450686641702276</v>
      </c>
      <c r="O16" s="3">
        <f>IFERROR(Condensate[[#This Row],[ยอดการใช้ Steam YUELI]]*100/Condensate[[#This Row],[รวมยอดใช้สตีม]]/100,0)</f>
        <v>0.60549313358297718</v>
      </c>
      <c r="P16" s="1">
        <f>SUM(Condensate[[#This Row],[ยอดการใช้ Steam BHS]:[ยอดการใช้ Steam YUELI]])</f>
        <v>80.100000000005821</v>
      </c>
    </row>
    <row r="17" spans="1:16">
      <c r="A17" s="2">
        <f>'[2]1.บาทต่อการผลิต'!A19</f>
        <v>45916</v>
      </c>
      <c r="B17" s="1">
        <f>VLOOKUP(Condensate[[#This Row],[วันที่]],'[3]TABLE DATA'!$V:$W,2,0)</f>
        <v>23</v>
      </c>
      <c r="C17" s="1">
        <f>[2]มิเตอร์น้ำ!AT18</f>
        <v>89</v>
      </c>
      <c r="D17" s="1">
        <f>Condensate[[#This Row],[มิเตอร์น้ำ Boiler]]-Condensate[[#This Row],[Soft Mark Up]]</f>
        <v>66</v>
      </c>
      <c r="E17" s="3">
        <f t="shared" si="0"/>
        <v>0.8</v>
      </c>
      <c r="F17" s="3">
        <f>IFERROR(Condensate[[#This Row],[น้ำ CONDENSATE กลับ]]/Condensate[[#This Row],[รวมยอดใช้สตีม]],0)</f>
        <v>0.80882352941185121</v>
      </c>
      <c r="G17" s="4">
        <f>(Condensate[[#This Row],[%  condensate ]]-Condensate[[#This Row],[Target]])/80*100</f>
        <v>1.1029411764813951E-2</v>
      </c>
      <c r="H17" s="5">
        <f>IFERROR(Condensate[[#This Row],[ยอดการใช้ Steam BHS]]*Condensate[[#This Row],[น้ำ CONDENSATE กลับ]]/Condensate[[#This Row],[มิเตอร์น้ำ Boiler]],0)</f>
        <v>29.885393258418333</v>
      </c>
      <c r="I17" s="3">
        <f>IFERROR(Condensate[[#This Row],[CON Return bhs]]/Condensate[[#This Row],[ยอดการใช้ Steam BHS]],0)</f>
        <v>0.7415730337078652</v>
      </c>
      <c r="J17" s="6">
        <f>IFERROR(Condensate[[#This Row],[ยอดการใช้ Steam YUELI]]*Condensate[[#This Row],[น้ำ CONDENSATE กลับ]]/Condensate[[#This Row],[มิเตอร์น้ำ Boiler]],0)</f>
        <v>30.626966292136991</v>
      </c>
      <c r="K17" s="3">
        <f>IFERROR(Condensate[[#This Row],[CON Return yueli]]/Condensate[[#This Row],[ยอดการใช้ Steam YUELI]],0)</f>
        <v>0.7415730337078652</v>
      </c>
      <c r="L17" s="1">
        <f>'[2]ข้อมูลตัด ถ่านหิน'!C21</f>
        <v>40.299999999988358</v>
      </c>
      <c r="M17" s="1">
        <f>'[2]ข้อมูลตัด ถ่านหิน'!D21</f>
        <v>41.30000000000291</v>
      </c>
      <c r="N17" s="3">
        <f>IFERROR(Condensate[[#This Row],[ยอดการใช้ Steam BHS]]*100/Condensate[[#This Row],[รวมยอดใช้สตีม]]/100,0)</f>
        <v>0.49387254901951799</v>
      </c>
      <c r="O17" s="3">
        <f>IFERROR(Condensate[[#This Row],[ยอดการใช้ Steam YUELI]]*100/Condensate[[#This Row],[รวมยอดใช้สตีม]]/100,0)</f>
        <v>0.50612745098048206</v>
      </c>
      <c r="P17" s="1">
        <f>SUM(Condensate[[#This Row],[ยอดการใช้ Steam BHS]:[ยอดการใช้ Steam YUELI]])</f>
        <v>81.599999999991269</v>
      </c>
    </row>
    <row r="18" spans="1:16">
      <c r="A18" s="2">
        <f>'[2]1.บาทต่อการผลิต'!A20</f>
        <v>45917</v>
      </c>
      <c r="B18" s="1">
        <f>VLOOKUP(Condensate[[#This Row],[วันที่]],'[3]TABLE DATA'!$V:$W,2,0)</f>
        <v>21</v>
      </c>
      <c r="C18" s="1">
        <f>[2]มิเตอร์น้ำ!AT19</f>
        <v>84</v>
      </c>
      <c r="D18" s="1">
        <f>Condensate[[#This Row],[มิเตอร์น้ำ Boiler]]-Condensate[[#This Row],[Soft Mark Up]]</f>
        <v>63</v>
      </c>
      <c r="E18" s="3">
        <f t="shared" si="0"/>
        <v>0.8</v>
      </c>
      <c r="F18" s="3">
        <f>IFERROR(Condensate[[#This Row],[น้ำ CONDENSATE กลับ]]/Condensate[[#This Row],[รวมยอดใช้สตีม]],0)</f>
        <v>0.77681874229340908</v>
      </c>
      <c r="G18" s="4">
        <f>(Condensate[[#This Row],[%  condensate ]]-Condensate[[#This Row],[Target]])/80*100</f>
        <v>-2.8976572133238704E-2</v>
      </c>
      <c r="H18" s="5">
        <f>IFERROR(Condensate[[#This Row],[ยอดการใช้ Steam BHS]]*Condensate[[#This Row],[น้ำ CONDENSATE กลับ]]/Condensate[[#This Row],[มิเตอร์น้ำ Boiler]],0)</f>
        <v>30.450000000004366</v>
      </c>
      <c r="I18" s="3">
        <f>IFERROR(Condensate[[#This Row],[CON Return bhs]]/Condensate[[#This Row],[ยอดการใช้ Steam BHS]],0)</f>
        <v>0.75</v>
      </c>
      <c r="J18" s="6">
        <f>IFERROR(Condensate[[#This Row],[ยอดการใช้ Steam YUELI]]*Condensate[[#This Row],[น้ำ CONDENSATE กลับ]]/Condensate[[#This Row],[มิเตอร์น้ำ Boiler]],0)</f>
        <v>30.375</v>
      </c>
      <c r="K18" s="3">
        <f>IFERROR(Condensate[[#This Row],[CON Return yueli]]/Condensate[[#This Row],[ยอดการใช้ Steam YUELI]],0)</f>
        <v>0.75</v>
      </c>
      <c r="L18" s="1">
        <f>'[2]ข้อมูลตัด ถ่านหิน'!C22</f>
        <v>40.600000000005821</v>
      </c>
      <c r="M18" s="1">
        <f>'[2]ข้อมูลตัด ถ่านหิน'!D22</f>
        <v>40.5</v>
      </c>
      <c r="N18" s="3">
        <f>IFERROR(Condensate[[#This Row],[ยอดการใช้ Steam BHS]]*100/Condensate[[#This Row],[รวมยอดใช้สตีม]]/100,0)</f>
        <v>0.50061652281137992</v>
      </c>
      <c r="O18" s="3">
        <f>IFERROR(Condensate[[#This Row],[ยอดการใช้ Steam YUELI]]*100/Condensate[[#This Row],[รวมยอดใช้สตีม]]/100,0)</f>
        <v>0.49938347718862014</v>
      </c>
      <c r="P18" s="1">
        <f>SUM(Condensate[[#This Row],[ยอดการใช้ Steam BHS]:[ยอดการใช้ Steam YUELI]])</f>
        <v>81.100000000005821</v>
      </c>
    </row>
    <row r="19" spans="1:16">
      <c r="A19" s="2">
        <f>'[2]1.บาทต่อการผลิต'!A21</f>
        <v>45918</v>
      </c>
      <c r="B19" s="1">
        <f>VLOOKUP(Condensate[[#This Row],[วันที่]],'[3]TABLE DATA'!$V:$W,2,0)</f>
        <v>18</v>
      </c>
      <c r="C19" s="1">
        <f>[2]มิเตอร์น้ำ!AT20</f>
        <v>89</v>
      </c>
      <c r="D19" s="1">
        <f>Condensate[[#This Row],[มิเตอร์น้ำ Boiler]]-Condensate[[#This Row],[Soft Mark Up]]</f>
        <v>71</v>
      </c>
      <c r="E19" s="3">
        <f t="shared" si="0"/>
        <v>0.8</v>
      </c>
      <c r="F19" s="3">
        <f>IFERROR(Condensate[[#This Row],[น้ำ CONDENSATE กลับ]]/Condensate[[#This Row],[รวมยอดใช้สตีม]],0)</f>
        <v>0.86903304773572643</v>
      </c>
      <c r="G19" s="4">
        <f>(Condensate[[#This Row],[%  condensate ]]-Condensate[[#This Row],[Target]])/80*100</f>
        <v>8.6291309669657978E-2</v>
      </c>
      <c r="H19" s="5">
        <f>IFERROR(Condensate[[#This Row],[ยอดการใช้ Steam BHS]]*Condensate[[#This Row],[น้ำ CONDENSATE กลับ]]/Condensate[[#This Row],[มิเตอร์น้ำ Boiler]],0)</f>
        <v>32.628089887635809</v>
      </c>
      <c r="I19" s="3">
        <f>IFERROR(Condensate[[#This Row],[CON Return bhs]]/Condensate[[#This Row],[ยอดการใช้ Steam BHS]],0)</f>
        <v>0.79775280898876411</v>
      </c>
      <c r="J19" s="6">
        <f>IFERROR(Condensate[[#This Row],[ยอดการใช้ Steam YUELI]]*Condensate[[#This Row],[น้ำ CONDENSATE กลับ]]/Condensate[[#This Row],[มิเตอร์น้ำ Boiler]],0)</f>
        <v>32.548314606738089</v>
      </c>
      <c r="K19" s="3">
        <f>IFERROR(Condensate[[#This Row],[CON Return yueli]]/Condensate[[#This Row],[ยอดการใช้ Steam YUELI]],0)</f>
        <v>0.797752808988764</v>
      </c>
      <c r="L19" s="1">
        <f>'[2]ข้อมูลตัด ถ่านหิน'!C23</f>
        <v>40.899999999994179</v>
      </c>
      <c r="M19" s="1">
        <f>'[2]ข้อมูลตัด ถ่านหิน'!D23</f>
        <v>40.799999999995634</v>
      </c>
      <c r="N19" s="3">
        <f>IFERROR(Condensate[[#This Row],[ยอดการใช้ Steam BHS]]*100/Condensate[[#This Row],[รวมยอดใช้สตีม]]/100,0)</f>
        <v>0.50061199510403032</v>
      </c>
      <c r="O19" s="3">
        <f>IFERROR(Condensate[[#This Row],[ยอดการใช้ Steam YUELI]]*100/Condensate[[#This Row],[รวมยอดใช้สตีม]]/100,0)</f>
        <v>0.49938800489596963</v>
      </c>
      <c r="P19" s="1">
        <f>SUM(Condensate[[#This Row],[ยอดการใช้ Steam BHS]:[ยอดการใช้ Steam YUELI]])</f>
        <v>81.699999999989814</v>
      </c>
    </row>
    <row r="20" spans="1:16">
      <c r="A20" s="2">
        <f>'[2]1.บาทต่อการผลิต'!A22</f>
        <v>45919</v>
      </c>
      <c r="B20" s="1">
        <f>VLOOKUP(Condensate[[#This Row],[วันที่]],'[3]TABLE DATA'!$V:$W,2,0)</f>
        <v>17</v>
      </c>
      <c r="C20" s="1">
        <f>[2]มิเตอร์น้ำ!AT21</f>
        <v>88</v>
      </c>
      <c r="D20" s="1">
        <f>Condensate[[#This Row],[มิเตอร์น้ำ Boiler]]-Condensate[[#This Row],[Soft Mark Up]]</f>
        <v>71</v>
      </c>
      <c r="E20" s="3">
        <f t="shared" si="0"/>
        <v>0.8</v>
      </c>
      <c r="F20" s="3">
        <f>IFERROR(Condensate[[#This Row],[น้ำ CONDENSATE กลับ]]/Condensate[[#This Row],[รวมยอดใช้สตีม]],0)</f>
        <v>0.85852478839165669</v>
      </c>
      <c r="G20" s="4">
        <f>(Condensate[[#This Row],[%  condensate ]]-Condensate[[#This Row],[Target]])/80*100</f>
        <v>7.3155985489570807E-2</v>
      </c>
      <c r="H20" s="5">
        <f>IFERROR(Condensate[[#This Row],[ยอดการใช้ Steam BHS]]*Condensate[[#This Row],[น้ำ CONDENSATE กลับ]]/Condensate[[#This Row],[มิเตอร์น้ำ Boiler]],0)</f>
        <v>33.563636363641059</v>
      </c>
      <c r="I20" s="3">
        <f>IFERROR(Condensate[[#This Row],[CON Return bhs]]/Condensate[[#This Row],[ยอดการใช้ Steam BHS]],0)</f>
        <v>0.80681818181818177</v>
      </c>
      <c r="J20" s="6">
        <f>IFERROR(Condensate[[#This Row],[ยอดการใช้ Steam YUELI]]*Condensate[[#This Row],[น้ำ CONDENSATE กลับ]]/Condensate[[#This Row],[มิเตอร์น้ำ Boiler]],0)</f>
        <v>33.160227272731966</v>
      </c>
      <c r="K20" s="3">
        <f>IFERROR(Condensate[[#This Row],[CON Return yueli]]/Condensate[[#This Row],[ยอดการใช้ Steam YUELI]],0)</f>
        <v>0.80681818181818177</v>
      </c>
      <c r="L20" s="1">
        <f>'[2]ข้อมูลตัด ถ่านหิน'!C24</f>
        <v>41.600000000005821</v>
      </c>
      <c r="M20" s="1">
        <f>'[2]ข้อมูลตัด ถ่านหิน'!D24</f>
        <v>41.100000000005821</v>
      </c>
      <c r="N20" s="3">
        <f>IFERROR(Condensate[[#This Row],[ยอดการใช้ Steam BHS]]*100/Condensate[[#This Row],[รวมยอดใช้สตีม]]/100,0)</f>
        <v>0.50302297460701295</v>
      </c>
      <c r="O20" s="3">
        <f>IFERROR(Condensate[[#This Row],[ยอดการใช้ Steam YUELI]]*100/Condensate[[#This Row],[รวมยอดใช้สตีม]]/100,0)</f>
        <v>0.4969770253929871</v>
      </c>
      <c r="P20" s="1">
        <f>SUM(Condensate[[#This Row],[ยอดการใช้ Steam BHS]:[ยอดการใช้ Steam YUELI]])</f>
        <v>82.700000000011642</v>
      </c>
    </row>
    <row r="21" spans="1:16">
      <c r="A21" s="2">
        <f>'[2]1.บาทต่อการผลิต'!A23</f>
        <v>45920</v>
      </c>
      <c r="B21" s="1">
        <f>VLOOKUP(Condensate[[#This Row],[วันที่]],'[3]TABLE DATA'!$V:$W,2,0)</f>
        <v>18</v>
      </c>
      <c r="C21" s="1">
        <f>[2]มิเตอร์น้ำ!AT22</f>
        <v>86</v>
      </c>
      <c r="D21" s="1">
        <f>Condensate[[#This Row],[มิเตอร์น้ำ Boiler]]-Condensate[[#This Row],[Soft Mark Up]]</f>
        <v>68</v>
      </c>
      <c r="E21" s="3">
        <f t="shared" si="0"/>
        <v>0.8</v>
      </c>
      <c r="F21" s="3">
        <f>IFERROR(Condensate[[#This Row],[น้ำ CONDENSATE กลับ]]/Condensate[[#This Row],[รวมยอดใช้สตีม]],0)</f>
        <v>0.80952380952394976</v>
      </c>
      <c r="G21" s="4">
        <f>(Condensate[[#This Row],[%  condensate ]]-Condensate[[#This Row],[Target]])/80*100</f>
        <v>1.1904761904937139E-2</v>
      </c>
      <c r="H21" s="5">
        <f>IFERROR(Condensate[[#This Row],[ยอดการใช้ Steam BHS]]*Condensate[[#This Row],[น้ำ CONDENSATE กลับ]]/Condensate[[#This Row],[มิเตอร์น้ำ Boiler]],0)</f>
        <v>32.260465116269863</v>
      </c>
      <c r="I21" s="3">
        <f>IFERROR(Condensate[[#This Row],[CON Return bhs]]/Condensate[[#This Row],[ยอดการใช้ Steam BHS]],0)</f>
        <v>0.79069767441860461</v>
      </c>
      <c r="J21" s="6">
        <f>IFERROR(Condensate[[#This Row],[ยอดการใช้ Steam YUELI]]*Condensate[[#This Row],[น้ำ CONDENSATE กลับ]]/Condensate[[#This Row],[มิเตอร์น้ำ Boiler]],0)</f>
        <v>34.158139534881421</v>
      </c>
      <c r="K21" s="3">
        <f>IFERROR(Condensate[[#This Row],[CON Return yueli]]/Condensate[[#This Row],[ยอดการใช้ Steam YUELI]],0)</f>
        <v>0.79069767441860472</v>
      </c>
      <c r="L21" s="1">
        <f>'[2]ข้อมูลตัด ถ่านหิน'!C25</f>
        <v>40.799999999988358</v>
      </c>
      <c r="M21" s="1">
        <f>'[2]ข้อมูลตัด ถ่านหิน'!D25</f>
        <v>43.19999999999709</v>
      </c>
      <c r="N21" s="3">
        <f>IFERROR(Condensate[[#This Row],[ยอดการใช้ Steam BHS]]*100/Condensate[[#This Row],[รวมยอดใช้สตีม]]/100,0)</f>
        <v>0.48571428571423125</v>
      </c>
      <c r="O21" s="3">
        <f>IFERROR(Condensate[[#This Row],[ยอดการใช้ Steam YUELI]]*100/Condensate[[#This Row],[รวมยอดใช้สตีม]]/100,0)</f>
        <v>0.51428571428576875</v>
      </c>
      <c r="P21" s="1">
        <f>SUM(Condensate[[#This Row],[ยอดการใช้ Steam BHS]:[ยอดการใช้ Steam YUELI]])</f>
        <v>83.999999999985448</v>
      </c>
    </row>
    <row r="22" spans="1:16">
      <c r="A22" s="2">
        <f>'[2]1.บาทต่อการผลิต'!A24</f>
        <v>45921</v>
      </c>
      <c r="B22" s="1">
        <f>VLOOKUP(Condensate[[#This Row],[วันที่]],'[3]TABLE DATA'!$V:$W,2,0)</f>
        <v>12</v>
      </c>
      <c r="C22" s="1">
        <f>[2]มิเตอร์น้ำ!AT23</f>
        <v>17</v>
      </c>
      <c r="D22" s="1">
        <f>Condensate[[#This Row],[มิเตอร์น้ำ Boiler]]-Condensate[[#This Row],[Soft Mark Up]]</f>
        <v>5</v>
      </c>
      <c r="E22" s="3">
        <f t="shared" si="0"/>
        <v>0.8</v>
      </c>
      <c r="F22" s="3">
        <f>IFERROR(Condensate[[#This Row],[น้ำ CONDENSATE กลับ]]/Condensate[[#This Row],[รวมยอดใช้สตีม]],0)</f>
        <v>0.25380710659874106</v>
      </c>
      <c r="G22" s="4">
        <f>(Condensate[[#This Row],[%  condensate ]]-Condensate[[#This Row],[Target]])/80*100</f>
        <v>-0.68274111675157378</v>
      </c>
      <c r="H22" s="5">
        <f>IFERROR(Condensate[[#This Row],[ยอดการใช้ Steam BHS]]*Condensate[[#This Row],[น้ำ CONDENSATE กลับ]]/Condensate[[#This Row],[มิเตอร์น้ำ Boiler]],0)</f>
        <v>2.7352941176521948</v>
      </c>
      <c r="I22" s="3">
        <f>IFERROR(Condensate[[#This Row],[CON Return bhs]]/Condensate[[#This Row],[ยอดการใช้ Steam BHS]],0)</f>
        <v>0.29411764705882354</v>
      </c>
      <c r="J22" s="6">
        <f>IFERROR(Condensate[[#This Row],[ยอดการใช้ Steam YUELI]]*Condensate[[#This Row],[น้ำ CONDENSATE กลับ]]/Condensate[[#This Row],[มิเตอร์น้ำ Boiler]],0)</f>
        <v>3.0588235294121926</v>
      </c>
      <c r="K22" s="3">
        <f>IFERROR(Condensate[[#This Row],[CON Return yueli]]/Condensate[[#This Row],[ยอดการใช้ Steam YUELI]],0)</f>
        <v>0.29411764705882354</v>
      </c>
      <c r="L22" s="1">
        <f>'[2]ข้อมูลตัด ถ่านหิน'!C26</f>
        <v>9.3000000000174623</v>
      </c>
      <c r="M22" s="1">
        <f>'[2]ข้อมูลตัด ถ่านหิน'!D26</f>
        <v>10.400000000001455</v>
      </c>
      <c r="N22" s="3">
        <f>IFERROR(Condensate[[#This Row],[ยอดการใช้ Steam BHS]]*100/Condensate[[#This Row],[รวมยอดใช้สตีม]]/100,0)</f>
        <v>0.47208121827454474</v>
      </c>
      <c r="O22" s="3">
        <f>IFERROR(Condensate[[#This Row],[ยอดการใช้ Steam YUELI]]*100/Condensate[[#This Row],[รวมยอดใช้สตีม]]/100,0)</f>
        <v>0.52791878172545526</v>
      </c>
      <c r="P22" s="1">
        <f>SUM(Condensate[[#This Row],[ยอดการใช้ Steam BHS]:[ยอดการใช้ Steam YUELI]])</f>
        <v>19.700000000018917</v>
      </c>
    </row>
    <row r="23" spans="1:16">
      <c r="A23" s="2">
        <f>'[2]1.บาทต่อการผลิต'!A25</f>
        <v>45922</v>
      </c>
      <c r="B23" s="1">
        <f>VLOOKUP(Condensate[[#This Row],[วันที่]],'[3]TABLE DATA'!$V:$W,2,0)</f>
        <v>2</v>
      </c>
      <c r="C23" s="1">
        <f>[2]มิเตอร์น้ำ!AT24</f>
        <v>48</v>
      </c>
      <c r="D23" s="1">
        <f>Condensate[[#This Row],[มิเตอร์น้ำ Boiler]]-Condensate[[#This Row],[Soft Mark Up]]</f>
        <v>46</v>
      </c>
      <c r="E23" s="3">
        <f t="shared" si="0"/>
        <v>0.8</v>
      </c>
      <c r="F23" s="3">
        <f>IFERROR(Condensate[[#This Row],[น้ำ CONDENSATE กลับ]]/Condensate[[#This Row],[รวมยอดใช้สตีม]],0)</f>
        <v>1.0337078651683702</v>
      </c>
      <c r="G23" s="4">
        <f>(Condensate[[#This Row],[%  condensate ]]-Condensate[[#This Row],[Target]])/80*100</f>
        <v>0.29213483146046271</v>
      </c>
      <c r="H23" s="5">
        <f>IFERROR(Condensate[[#This Row],[ยอดการใช้ Steam BHS]]*Condensate[[#This Row],[น้ำ CONDENSATE กลับ]]/Condensate[[#This Row],[มิเตอร์น้ำ Boiler]],0)</f>
        <v>21.658333333338913</v>
      </c>
      <c r="I23" s="3">
        <f>IFERROR(Condensate[[#This Row],[CON Return bhs]]/Condensate[[#This Row],[ยอดการใช้ Steam BHS]],0)</f>
        <v>0.95833333333333337</v>
      </c>
      <c r="J23" s="6">
        <f>IFERROR(Condensate[[#This Row],[ยอดการใช้ Steam YUELI]]*Condensate[[#This Row],[น้ำ CONDENSATE กลับ]]/Condensate[[#This Row],[มิเตอร์น้ำ Boiler]],0)</f>
        <v>20.987500000001393</v>
      </c>
      <c r="K23" s="3">
        <f>IFERROR(Condensate[[#This Row],[CON Return yueli]]/Condensate[[#This Row],[ยอดการใช้ Steam YUELI]],0)</f>
        <v>0.95833333333333326</v>
      </c>
      <c r="L23" s="1">
        <f>'[2]ข้อมูลตัด ถ่านหิน'!C27</f>
        <v>22.600000000005821</v>
      </c>
      <c r="M23" s="1">
        <f>'[2]ข้อมูลตัด ถ่านหิน'!D27</f>
        <v>21.900000000001455</v>
      </c>
      <c r="N23" s="3">
        <f>IFERROR(Condensate[[#This Row],[ยอดการใช้ Steam BHS]]*100/Condensate[[#This Row],[รวมยอดใช้สตีม]]/100,0)</f>
        <v>0.50786516853937369</v>
      </c>
      <c r="O23" s="3">
        <f>IFERROR(Condensate[[#This Row],[ยอดการใช้ Steam YUELI]]*100/Condensate[[#This Row],[รวมยอดใช้สตีม]]/100,0)</f>
        <v>0.49213483146062637</v>
      </c>
      <c r="P23" s="1">
        <f>SUM(Condensate[[#This Row],[ยอดการใช้ Steam BHS]:[ยอดการใช้ Steam YUELI]])</f>
        <v>44.500000000007276</v>
      </c>
    </row>
    <row r="24" spans="1:16">
      <c r="A24" s="2">
        <f>'[2]1.บาทต่อการผลิต'!A26</f>
        <v>45923</v>
      </c>
      <c r="B24" s="1">
        <f>VLOOKUP(Condensate[[#This Row],[วันที่]],'[3]TABLE DATA'!$V:$W,2,0)</f>
        <v>15</v>
      </c>
      <c r="C24" s="1">
        <f>[2]มิเตอร์น้ำ!AT25</f>
        <v>84</v>
      </c>
      <c r="D24" s="1">
        <f>Condensate[[#This Row],[มิเตอร์น้ำ Boiler]]-Condensate[[#This Row],[Soft Mark Up]]</f>
        <v>69</v>
      </c>
      <c r="E24" s="3">
        <f t="shared" si="0"/>
        <v>0.8</v>
      </c>
      <c r="F24" s="3">
        <f>IFERROR(Condensate[[#This Row],[น้ำ CONDENSATE กลับ]]/Condensate[[#This Row],[รวมยอดใช้สตีม]],0)</f>
        <v>0.83232810615204877</v>
      </c>
      <c r="G24" s="4">
        <f>(Condensate[[#This Row],[%  condensate ]]-Condensate[[#This Row],[Target]])/80*100</f>
        <v>4.0410132690060913E-2</v>
      </c>
      <c r="H24" s="5">
        <f>IFERROR(Condensate[[#This Row],[ยอดการใช้ Steam BHS]]*Condensate[[#This Row],[น้ำ CONDENSATE กลับ]]/Condensate[[#This Row],[มิเตอร์น้ำ Boiler]],0)</f>
        <v>32.446428571428569</v>
      </c>
      <c r="I24" s="3">
        <f>IFERROR(Condensate[[#This Row],[CON Return bhs]]/Condensate[[#This Row],[ยอดการใช้ Steam BHS]],0)</f>
        <v>0.8214285714285714</v>
      </c>
      <c r="J24" s="6">
        <f>IFERROR(Condensate[[#This Row],[ยอดการใช้ Steam YUELI]]*Condensate[[#This Row],[น้ำ CONDENSATE กลับ]]/Condensate[[#This Row],[มิเตอร์น้ำ Boiler]],0)</f>
        <v>35.649999999995217</v>
      </c>
      <c r="K24" s="3">
        <f>IFERROR(Condensate[[#This Row],[CON Return yueli]]/Condensate[[#This Row],[ยอดการใช้ Steam YUELI]],0)</f>
        <v>0.8214285714285714</v>
      </c>
      <c r="L24" s="1">
        <f>'[2]ข้อมูลตัด ถ่านหิน'!C28</f>
        <v>39.5</v>
      </c>
      <c r="M24" s="1">
        <f>'[2]ข้อมูลตัด ถ่านหิน'!D28</f>
        <v>43.399999999994179</v>
      </c>
      <c r="N24" s="3">
        <f>IFERROR(Condensate[[#This Row],[ยอดการใช้ Steam BHS]]*100/Condensate[[#This Row],[รวมยอดใช้สตีม]]/100,0)</f>
        <v>0.47647768395660761</v>
      </c>
      <c r="O24" s="3">
        <f>IFERROR(Condensate[[#This Row],[ยอดการใช้ Steam YUELI]]*100/Condensate[[#This Row],[รวมยอดใช้สตีม]]/100,0)</f>
        <v>0.52352231604339239</v>
      </c>
      <c r="P24" s="1">
        <f>SUM(Condensate[[#This Row],[ยอดการใช้ Steam BHS]:[ยอดการใช้ Steam YUELI]])</f>
        <v>82.899999999994179</v>
      </c>
    </row>
    <row r="25" spans="1:16">
      <c r="A25" s="2">
        <f>'[2]1.บาทต่อการผลิต'!A27</f>
        <v>45924</v>
      </c>
      <c r="B25" s="1">
        <f>VLOOKUP(Condensate[[#This Row],[วันที่]],'[3]TABLE DATA'!$V:$W,2,0)</f>
        <v>17</v>
      </c>
      <c r="C25" s="1">
        <f>[2]มิเตอร์น้ำ!AT26</f>
        <v>90</v>
      </c>
      <c r="D25" s="1">
        <f>Condensate[[#This Row],[มิเตอร์น้ำ Boiler]]-Condensate[[#This Row],[Soft Mark Up]]</f>
        <v>73</v>
      </c>
      <c r="E25" s="3">
        <f t="shared" si="0"/>
        <v>0.8</v>
      </c>
      <c r="F25" s="3">
        <f>IFERROR(Condensate[[#This Row],[น้ำ CONDENSATE กลับ]]/Condensate[[#This Row],[รวมยอดใช้สตีม]],0)</f>
        <v>0.81930415263743239</v>
      </c>
      <c r="G25" s="4">
        <f>(Condensate[[#This Row],[%  condensate ]]-Condensate[[#This Row],[Target]])/80*100</f>
        <v>2.4130190796790435E-2</v>
      </c>
      <c r="H25" s="5">
        <f>IFERROR(Condensate[[#This Row],[ยอดการใช้ Steam BHS]]*Condensate[[#This Row],[น้ำ CONDENSATE กลับ]]/Condensate[[#This Row],[มิเตอร์น้ำ Boiler]],0)</f>
        <v>33.255555555555553</v>
      </c>
      <c r="I25" s="3">
        <f>IFERROR(Condensate[[#This Row],[CON Return bhs]]/Condensate[[#This Row],[ยอดการใช้ Steam BHS]],0)</f>
        <v>0.81111111111111101</v>
      </c>
      <c r="J25" s="6">
        <f>IFERROR(Condensate[[#This Row],[ยอดการใช้ Steam YUELI]]*Condensate[[#This Row],[น้ำ CONDENSATE กลับ]]/Condensate[[#This Row],[มิเตอร์น้ำ Boiler]],0)</f>
        <v>39.014444444449168</v>
      </c>
      <c r="K25" s="3">
        <f>IFERROR(Condensate[[#This Row],[CON Return yueli]]/Condensate[[#This Row],[ยอดการใช้ Steam YUELI]],0)</f>
        <v>0.81111111111111112</v>
      </c>
      <c r="L25" s="1">
        <f>'[2]ข้อมูลตัด ถ่านหิน'!C29</f>
        <v>41</v>
      </c>
      <c r="M25" s="1">
        <f>'[2]ข้อมูลตัด ถ่านหิน'!D29</f>
        <v>48.100000000005821</v>
      </c>
      <c r="N25" s="3">
        <f>IFERROR(Condensate[[#This Row],[ยอดการใช้ Steam BHS]]*100/Condensate[[#This Row],[รวมยอดใช้สตีม]]/100,0)</f>
        <v>0.46015712682376347</v>
      </c>
      <c r="O25" s="3">
        <f>IFERROR(Condensate[[#This Row],[ยอดการใช้ Steam YUELI]]*100/Condensate[[#This Row],[รวมยอดใช้สตีม]]/100,0)</f>
        <v>0.53984287317623658</v>
      </c>
      <c r="P25" s="1">
        <f>SUM(Condensate[[#This Row],[ยอดการใช้ Steam BHS]:[ยอดการใช้ Steam YUELI]])</f>
        <v>89.100000000005821</v>
      </c>
    </row>
    <row r="26" spans="1:16">
      <c r="A26" s="2">
        <f>'[2]1.บาทต่อการผลิต'!A28</f>
        <v>45925</v>
      </c>
      <c r="B26" s="1">
        <f>VLOOKUP(Condensate[[#This Row],[วันที่]],'[3]TABLE DATA'!$V:$W,2,0)</f>
        <v>16</v>
      </c>
      <c r="C26" s="1">
        <f>[2]มิเตอร์น้ำ!AT27</f>
        <v>86</v>
      </c>
      <c r="D26" s="1">
        <f>Condensate[[#This Row],[มิเตอร์น้ำ Boiler]]-Condensate[[#This Row],[Soft Mark Up]]</f>
        <v>70</v>
      </c>
      <c r="E26" s="3">
        <f t="shared" si="0"/>
        <v>0.8</v>
      </c>
      <c r="F26" s="3">
        <f>IFERROR(Condensate[[#This Row],[น้ำ CONDENSATE กลับ]]/Condensate[[#This Row],[รวมยอดใช้สตีม]],0)</f>
        <v>0.83532219570417332</v>
      </c>
      <c r="G26" s="4">
        <f>(Condensate[[#This Row],[%  condensate ]]-Condensate[[#This Row],[Target]])/80*100</f>
        <v>4.4152744630216595E-2</v>
      </c>
      <c r="H26" s="5">
        <f>IFERROR(Condensate[[#This Row],[ยอดการใช้ Steam BHS]]*Condensate[[#This Row],[น้ำ CONDENSATE กลับ]]/Condensate[[#This Row],[มิเตอร์น้ำ Boiler]],0)</f>
        <v>34.104651162785963</v>
      </c>
      <c r="I26" s="3">
        <f>IFERROR(Condensate[[#This Row],[CON Return bhs]]/Condensate[[#This Row],[ยอดการใช้ Steam BHS]],0)</f>
        <v>0.81395348837209314</v>
      </c>
      <c r="J26" s="6">
        <f>IFERROR(Condensate[[#This Row],[ยอดการใช้ Steam YUELI]]*Condensate[[#This Row],[น้ำ CONDENSATE กลับ]]/Condensate[[#This Row],[มิเตอร์น้ำ Boiler]],0)</f>
        <v>34.104651162785963</v>
      </c>
      <c r="K26" s="3">
        <f>IFERROR(Condensate[[#This Row],[CON Return yueli]]/Condensate[[#This Row],[ยอดการใช้ Steam YUELI]],0)</f>
        <v>0.81395348837209314</v>
      </c>
      <c r="L26" s="1">
        <f>'[2]ข้อมูลตัด ถ่านหิน'!C30</f>
        <v>41.899999999994179</v>
      </c>
      <c r="M26" s="1">
        <f>'[2]ข้อมูลตัด ถ่านหิน'!D30</f>
        <v>41.899999999994179</v>
      </c>
      <c r="N26" s="3">
        <f>IFERROR(Condensate[[#This Row],[ยอดการใช้ Steam BHS]]*100/Condensate[[#This Row],[รวมยอดใช้สตีม]]/100,0)</f>
        <v>0.5</v>
      </c>
      <c r="O26" s="3">
        <f>IFERROR(Condensate[[#This Row],[ยอดการใช้ Steam YUELI]]*100/Condensate[[#This Row],[รวมยอดใช้สตีม]]/100,0)</f>
        <v>0.5</v>
      </c>
      <c r="P26" s="1">
        <f>SUM(Condensate[[#This Row],[ยอดการใช้ Steam BHS]:[ยอดการใช้ Steam YUELI]])</f>
        <v>83.799999999988358</v>
      </c>
    </row>
    <row r="27" spans="1:16">
      <c r="A27" s="2">
        <f>'[2]1.บาทต่อการผลิต'!A29</f>
        <v>45926</v>
      </c>
      <c r="B27" s="1">
        <f>VLOOKUP(Condensate[[#This Row],[วันที่]],'[3]TABLE DATA'!$V:$W,2,0)</f>
        <v>17</v>
      </c>
      <c r="C27" s="1">
        <f>[2]มิเตอร์น้ำ!AT28</f>
        <v>68</v>
      </c>
      <c r="D27" s="1">
        <f>Condensate[[#This Row],[มิเตอร์น้ำ Boiler]]-Condensate[[#This Row],[Soft Mark Up]]</f>
        <v>51</v>
      </c>
      <c r="E27" s="3">
        <f t="shared" si="0"/>
        <v>0.8</v>
      </c>
      <c r="F27" s="3">
        <f>IFERROR(Condensate[[#This Row],[น้ำ CONDENSATE กลับ]]/Condensate[[#This Row],[รวมยอดใช้สตีม]],0)</f>
        <v>0.77507598784199672</v>
      </c>
      <c r="G27" s="4">
        <f>(Condensate[[#This Row],[%  condensate ]]-Condensate[[#This Row],[Target]])/80*100</f>
        <v>-3.115501519750416E-2</v>
      </c>
      <c r="H27" s="5">
        <f>IFERROR(Condensate[[#This Row],[ยอดการใช้ Steam BHS]]*Condensate[[#This Row],[น้ำ CONDENSATE กลับ]]/Condensate[[#This Row],[มิเตอร์น้ำ Boiler]],0)</f>
        <v>30.674999999995634</v>
      </c>
      <c r="I27" s="3">
        <f>IFERROR(Condensate[[#This Row],[CON Return bhs]]/Condensate[[#This Row],[ยอดการใช้ Steam BHS]],0)</f>
        <v>0.75</v>
      </c>
      <c r="J27" s="6">
        <f>IFERROR(Condensate[[#This Row],[ยอดการใช้ Steam YUELI]]*Condensate[[#This Row],[น้ำ CONDENSATE กลับ]]/Condensate[[#This Row],[มิเตอร์น้ำ Boiler]],0)</f>
        <v>18.675000000001091</v>
      </c>
      <c r="K27" s="3">
        <f>IFERROR(Condensate[[#This Row],[CON Return yueli]]/Condensate[[#This Row],[ยอดการใช้ Steam YUELI]],0)</f>
        <v>0.75</v>
      </c>
      <c r="L27" s="1">
        <f>'[2]ข้อมูลตัด ถ่านหิน'!C31</f>
        <v>40.899999999994179</v>
      </c>
      <c r="M27" s="1">
        <f>'[2]ข้อมูลตัด ถ่านหิน'!D31</f>
        <v>24.900000000001455</v>
      </c>
      <c r="N27" s="3">
        <f>IFERROR(Condensate[[#This Row],[ยอดการใช้ Steam BHS]]*100/Condensate[[#This Row],[รวมยอดใช้สตีม]]/100,0)</f>
        <v>0.62158054711241473</v>
      </c>
      <c r="O27" s="3">
        <f>IFERROR(Condensate[[#This Row],[ยอดการใช้ Steam YUELI]]*100/Condensate[[#This Row],[รวมยอดใช้สตีม]]/100,0)</f>
        <v>0.37841945288758522</v>
      </c>
      <c r="P27" s="1">
        <f>SUM(Condensate[[#This Row],[ยอดการใช้ Steam BHS]:[ยอดการใช้ Steam YUELI]])</f>
        <v>65.799999999995634</v>
      </c>
    </row>
    <row r="28" spans="1:16">
      <c r="A28" s="2">
        <f>'[2]1.บาทต่อการผลิต'!A30</f>
        <v>45927</v>
      </c>
      <c r="B28" s="1">
        <f>VLOOKUP(Condensate[[#This Row],[วันที่]],'[3]TABLE DATA'!$V:$W,2,0)</f>
        <v>12</v>
      </c>
      <c r="C28" s="1">
        <f>[2]มิเตอร์น้ำ!AT29</f>
        <v>81</v>
      </c>
      <c r="D28" s="1">
        <f>Condensate[[#This Row],[มิเตอร์น้ำ Boiler]]-Condensate[[#This Row],[Soft Mark Up]]</f>
        <v>69</v>
      </c>
      <c r="E28" s="3">
        <f t="shared" si="0"/>
        <v>0.8</v>
      </c>
      <c r="F28" s="3">
        <f>IFERROR(Condensate[[#This Row],[น้ำ CONDENSATE กลับ]]/Condensate[[#This Row],[รวมยอดใช้สตีม]],0)</f>
        <v>0.85290482076643959</v>
      </c>
      <c r="G28" s="4">
        <f>(Condensate[[#This Row],[%  condensate ]]-Condensate[[#This Row],[Target]])/80*100</f>
        <v>6.6131025958049428E-2</v>
      </c>
      <c r="H28" s="5">
        <f>IFERROR(Condensate[[#This Row],[ยอดการใช้ Steam BHS]]*Condensate[[#This Row],[น้ำ CONDENSATE กลับ]]/Condensate[[#This Row],[มิเตอร์น้ำ Boiler]],0)</f>
        <v>34.414814814809858</v>
      </c>
      <c r="I28" s="3">
        <f>IFERROR(Condensate[[#This Row],[CON Return bhs]]/Condensate[[#This Row],[ยอดการใช้ Steam BHS]],0)</f>
        <v>0.85185185185185186</v>
      </c>
      <c r="J28" s="6">
        <f>IFERROR(Condensate[[#This Row],[ยอดการใช้ Steam YUELI]]*Condensate[[#This Row],[น้ำ CONDENSATE กลับ]]/Condensate[[#This Row],[มิเตอร์น้ำ Boiler]],0)</f>
        <v>34.5</v>
      </c>
      <c r="K28" s="3">
        <f>IFERROR(Condensate[[#This Row],[CON Return yueli]]/Condensate[[#This Row],[ยอดการใช้ Steam YUELI]],0)</f>
        <v>0.85185185185185186</v>
      </c>
      <c r="L28" s="1">
        <f>'[2]ข้อมูลตัด ถ่านหิน'!C32</f>
        <v>40.399999999994179</v>
      </c>
      <c r="M28" s="1">
        <f>'[2]ข้อมูลตัด ถ่านหิน'!D32</f>
        <v>40.5</v>
      </c>
      <c r="N28" s="3">
        <f>IFERROR(Condensate[[#This Row],[ยอดการใช้ Steam BHS]]*100/Condensate[[#This Row],[รวมยอดใช้สตีม]]/100,0)</f>
        <v>0.49938195302839411</v>
      </c>
      <c r="O28" s="3">
        <f>IFERROR(Condensate[[#This Row],[ยอดการใช้ Steam YUELI]]*100/Condensate[[#This Row],[รวมยอดใช้สตีม]]/100,0)</f>
        <v>0.50061804697160595</v>
      </c>
      <c r="P28" s="1">
        <f>SUM(Condensate[[#This Row],[ยอดการใช้ Steam BHS]:[ยอดการใช้ Steam YUELI]])</f>
        <v>80.899999999994179</v>
      </c>
    </row>
    <row r="29" spans="1:16">
      <c r="A29" s="2">
        <f>'[2]1.บาทต่อการผลิต'!A31</f>
        <v>45928</v>
      </c>
      <c r="B29" s="1">
        <f>VLOOKUP(Condensate[[#This Row],[วันที่]],'[3]TABLE DATA'!$V:$W,2,0)</f>
        <v>13</v>
      </c>
      <c r="C29" s="1">
        <f>[2]มิเตอร์น้ำ!AT30</f>
        <v>11</v>
      </c>
      <c r="D29" s="1">
        <f>Condensate[[#This Row],[มิเตอร์น้ำ Boiler]]-Condensate[[#This Row],[Soft Mark Up]]</f>
        <v>-2</v>
      </c>
      <c r="E29" s="3">
        <f t="shared" si="0"/>
        <v>0.8</v>
      </c>
      <c r="F29" s="3">
        <f>IFERROR(Condensate[[#This Row],[น้ำ CONDENSATE กลับ]]/Condensate[[#This Row],[รวมยอดใช้สตีม]],0)</f>
        <v>-0.18518518518526003</v>
      </c>
      <c r="G29" s="4">
        <f>(Condensate[[#This Row],[%  condensate ]]-Condensate[[#This Row],[Target]])/80*100</f>
        <v>-1.2314814814815751</v>
      </c>
      <c r="H29" s="5">
        <f>IFERROR(Condensate[[#This Row],[ยอดการใช้ Steam BHS]]*Condensate[[#This Row],[น้ำ CONDENSATE กลับ]]/Condensate[[#This Row],[มิเตอร์น้ำ Boiler]],0)</f>
        <v>-1.0727272727262145</v>
      </c>
      <c r="I29" s="3">
        <f>IFERROR(Condensate[[#This Row],[CON Return bhs]]/Condensate[[#This Row],[ยอดการใช้ Steam BHS]],0)</f>
        <v>-0.18181818181818182</v>
      </c>
      <c r="J29" s="6">
        <f>IFERROR(Condensate[[#This Row],[ยอดการใช้ Steam YUELI]]*Condensate[[#This Row],[น้ำ CONDENSATE กลับ]]/Condensate[[#This Row],[มิเตอร์น้ำ Boiler]],0)</f>
        <v>-0.89090909090935544</v>
      </c>
      <c r="K29" s="3">
        <f>IFERROR(Condensate[[#This Row],[CON Return yueli]]/Condensate[[#This Row],[ยอดการใช้ Steam YUELI]],0)</f>
        <v>-0.1818181818181818</v>
      </c>
      <c r="L29" s="1">
        <f>'[2]ข้อมูลตัด ถ่านหิน'!C33</f>
        <v>5.8999999999941792</v>
      </c>
      <c r="M29" s="1">
        <f>'[2]ข้อมูลตัด ถ่านหิน'!D33</f>
        <v>4.9000000000014552</v>
      </c>
      <c r="N29" s="3">
        <f>IFERROR(Condensate[[#This Row],[ยอดการใช้ Steam BHS]]*100/Condensate[[#This Row],[รวมยอดใช้สตีม]]/100,0)</f>
        <v>0.5462962962959782</v>
      </c>
      <c r="O29" s="3">
        <f>IFERROR(Condensate[[#This Row],[ยอดการใช้ Steam YUELI]]*100/Condensate[[#This Row],[รวมยอดใช้สตีม]]/100,0)</f>
        <v>0.45370370370402185</v>
      </c>
      <c r="P29" s="1">
        <f>SUM(Condensate[[#This Row],[ยอดการใช้ Steam BHS]:[ยอดการใช้ Steam YUELI]])</f>
        <v>10.799999999995634</v>
      </c>
    </row>
    <row r="30" spans="1:16">
      <c r="A30" s="2">
        <f>'[2]1.บาทต่อการผลิต'!A32</f>
        <v>45929</v>
      </c>
      <c r="B30" s="1">
        <f>VLOOKUP(Condensate[[#This Row],[วันที่]],'[3]TABLE DATA'!$V:$W,2,0)</f>
        <v>3</v>
      </c>
      <c r="C30" s="1">
        <f>[2]มิเตอร์น้ำ!AT31</f>
        <v>63</v>
      </c>
      <c r="D30" s="1">
        <f>Condensate[[#This Row],[มิเตอร์น้ำ Boiler]]-Condensate[[#This Row],[Soft Mark Up]]</f>
        <v>60</v>
      </c>
      <c r="E30" s="3">
        <f t="shared" si="0"/>
        <v>0.8</v>
      </c>
      <c r="F30" s="3">
        <f>IFERROR(Condensate[[#This Row],[น้ำ CONDENSATE กลับ]]/Condensate[[#This Row],[รวมยอดใช้สตีม]],0)</f>
        <v>0.96463022508009244</v>
      </c>
      <c r="G30" s="4">
        <f>(Condensate[[#This Row],[%  condensate ]]-Condensate[[#This Row],[Target]])/80*100</f>
        <v>0.2057877813501155</v>
      </c>
      <c r="H30" s="5">
        <f>IFERROR(Condensate[[#This Row],[ยอดการใช้ Steam BHS]]*Condensate[[#This Row],[น้ำ CONDENSATE กลับ]]/Condensate[[#This Row],[มิเตอร์น้ำ Boiler]],0)</f>
        <v>28.857142857159488</v>
      </c>
      <c r="I30" s="3">
        <f>IFERROR(Condensate[[#This Row],[CON Return bhs]]/Condensate[[#This Row],[ยอดการใช้ Steam BHS]],0)</f>
        <v>0.95238095238095233</v>
      </c>
      <c r="J30" s="6">
        <f>IFERROR(Condensate[[#This Row],[ยอดการใช้ Steam YUELI]]*Condensate[[#This Row],[น้ำ CONDENSATE กลับ]]/Condensate[[#This Row],[มิเตอร์น้ำ Boiler]],0)</f>
        <v>30.380952380953765</v>
      </c>
      <c r="K30" s="3">
        <f>IFERROR(Condensate[[#This Row],[CON Return yueli]]/Condensate[[#This Row],[ยอดการใช้ Steam YUELI]],0)</f>
        <v>0.95238095238095233</v>
      </c>
      <c r="L30" s="1">
        <f>'[2]ข้อมูลตัด ถ่านหิน'!C34</f>
        <v>30.300000000017462</v>
      </c>
      <c r="M30" s="1">
        <f>'[2]ข้อมูลตัด ถ่านหิน'!D34</f>
        <v>31.900000000001455</v>
      </c>
      <c r="N30" s="3">
        <f>IFERROR(Condensate[[#This Row],[ยอดการใช้ Steam BHS]]*100/Condensate[[#This Row],[รวมยอดใช้สตีม]]/100,0)</f>
        <v>0.48713826366572749</v>
      </c>
      <c r="O30" s="3">
        <f>IFERROR(Condensate[[#This Row],[ยอดการใช้ Steam YUELI]]*100/Condensate[[#This Row],[รวมยอดใช้สตีม]]/100,0)</f>
        <v>0.51286173633427257</v>
      </c>
      <c r="P30" s="1">
        <f>SUM(Condensate[[#This Row],[ยอดการใช้ Steam BHS]:[ยอดการใช้ Steam YUELI]])</f>
        <v>62.200000000018917</v>
      </c>
    </row>
    <row r="31" spans="1:16">
      <c r="A31" s="2">
        <f>'[2]1.บาทต่อการผลิต'!A33</f>
        <v>45930</v>
      </c>
      <c r="B31" s="1">
        <f>VLOOKUP(Condensate[[#This Row],[วันที่]],'[3]TABLE DATA'!$V:$W,2,0)</f>
        <v>17</v>
      </c>
      <c r="C31" s="1">
        <f>[2]มิเตอร์น้ำ!AT32</f>
        <v>93</v>
      </c>
      <c r="D31" s="1">
        <f>Condensate[[#This Row],[มิเตอร์น้ำ Boiler]]-Condensate[[#This Row],[Soft Mark Up]]</f>
        <v>76</v>
      </c>
      <c r="E31" s="3">
        <f t="shared" si="0"/>
        <v>0.8</v>
      </c>
      <c r="F31" s="3">
        <f>IFERROR(Condensate[[#This Row],[น้ำ CONDENSATE กลับ]]/Condensate[[#This Row],[รวมยอดใช้สตีม]],0)</f>
        <v>0.75697211155378485</v>
      </c>
      <c r="G31" s="4">
        <f>(Condensate[[#This Row],[%  condensate ]]-Condensate[[#This Row],[Target]])/80*100</f>
        <v>-5.3784860557768981E-2</v>
      </c>
      <c r="H31" s="5">
        <f>IFERROR(Condensate[[#This Row],[ยอดการใช้ Steam BHS]]*Condensate[[#This Row],[น้ำ CONDENSATE กลับ]]/Condensate[[#This Row],[มิเตอร์น้ำ Boiler]],0)</f>
        <v>35.13978494623656</v>
      </c>
      <c r="I31" s="3">
        <f>IFERROR(Condensate[[#This Row],[CON Return bhs]]/Condensate[[#This Row],[ยอดการใช้ Steam BHS]],0)</f>
        <v>0.81720430107526887</v>
      </c>
      <c r="J31" s="6">
        <f>IFERROR(Condensate[[#This Row],[ยอดการใช้ Steam YUELI]]*Condensate[[#This Row],[น้ำ CONDENSATE กลับ]]/Condensate[[#This Row],[มิเตอร์น้ำ Boiler]],0)</f>
        <v>46.907526881720429</v>
      </c>
      <c r="K31" s="3">
        <f>IFERROR(Condensate[[#This Row],[CON Return yueli]]/Condensate[[#This Row],[ยอดการใช้ Steam YUELI]],0)</f>
        <v>0.81720430107526887</v>
      </c>
      <c r="L31" s="1">
        <f>'[2]ข้อมูลตัด ถ่านหิน'!C35</f>
        <v>43</v>
      </c>
      <c r="M31" s="1">
        <f>'[2]ข้อมูลตัด ถ่านหิน'!D35</f>
        <v>57.4</v>
      </c>
      <c r="N31" s="3">
        <f>IFERROR(Condensate[[#This Row],[ยอดการใช้ Steam BHS]]*100/Condensate[[#This Row],[รวมยอดใช้สตีม]]/100,0)</f>
        <v>0.42828685258964144</v>
      </c>
      <c r="O31" s="3">
        <f>IFERROR(Condensate[[#This Row],[ยอดการใช้ Steam YUELI]]*100/Condensate[[#This Row],[รวมยอดใช้สตีม]]/100,0)</f>
        <v>0.5717131474103585</v>
      </c>
      <c r="P31" s="1">
        <f>SUM(Condensate[[#This Row],[ยอดการใช้ Steam BHS]:[ยอดการใช้ Steam YUELI]])</f>
        <v>100.4</v>
      </c>
    </row>
    <row r="32" spans="1:16">
      <c r="A32" s="2">
        <v>45931</v>
      </c>
      <c r="B32" s="1">
        <f>VLOOKUP(Condensate[[#This Row],[วันที่]],'[4]TABLE DATA'!$V:$W,2,0)</f>
        <v>19</v>
      </c>
      <c r="C32" s="1">
        <f>[5]มิเตอร์น้ำ!AY3</f>
        <v>93</v>
      </c>
      <c r="D32" s="1">
        <f>Condensate[[#This Row],[มิเตอร์น้ำ Boiler]]-Condensate[[#This Row],[Soft Mark Up]]</f>
        <v>74</v>
      </c>
      <c r="E32" s="3">
        <f t="shared" si="0"/>
        <v>0.8</v>
      </c>
      <c r="F32" s="3">
        <f>IFERROR(Condensate[[#This Row],[น้ำ CONDENSATE กลับ]]/Condensate[[#This Row],[รวมยอดใช้สตีม]],0)</f>
        <v>0.67827681026581121</v>
      </c>
      <c r="G32" s="4">
        <f>(Condensate[[#This Row],[%  condensate ]]-Condensate[[#This Row],[Target]])/80*100</f>
        <v>-0.15215398716773604</v>
      </c>
      <c r="H32" s="5">
        <f>IFERROR(Condensate[[#This Row],[ยอดการใช้ Steam BHS]]*Condensate[[#This Row],[น้ำ CONDENSATE กลับ]]/Condensate[[#This Row],[มิเตอร์น้ำ Boiler]],0)</f>
        <v>32.623655913978496</v>
      </c>
      <c r="I32" s="3">
        <f>IFERROR(Condensate[[#This Row],[CON Return bhs]]/Condensate[[#This Row],[ยอดการใช้ Steam BHS]],0)</f>
        <v>0.79569892473118287</v>
      </c>
      <c r="J32" s="6">
        <f>IFERROR(Condensate[[#This Row],[ยอดการใช้ Steam YUELI]]*Condensate[[#This Row],[น้ำ CONDENSATE กลับ]]/Condensate[[#This Row],[มิเตอร์น้ำ Boiler]],0)</f>
        <v>54.187096774193542</v>
      </c>
      <c r="K32" s="3">
        <f>IFERROR(Condensate[[#This Row],[CON Return yueli]]/Condensate[[#This Row],[ยอดการใช้ Steam YUELI]],0)</f>
        <v>0.79569892473118276</v>
      </c>
      <c r="L32" s="1">
        <f>'[5]ข้อมูลตัด ถ่านหิน'!C6</f>
        <v>41</v>
      </c>
      <c r="M32" s="1">
        <f>'[5]ข้อมูลตัด ถ่านหิน'!D6</f>
        <v>68.099999999999994</v>
      </c>
      <c r="N32" s="3">
        <f>IFERROR(Condensate[[#This Row],[ยอดการใช้ Steam BHS]]*100/Condensate[[#This Row],[รวมยอดใช้สตีม]]/100,0)</f>
        <v>0.37580201649862516</v>
      </c>
      <c r="O32" s="3">
        <f>IFERROR(Condensate[[#This Row],[ยอดการใช้ Steam YUELI]]*100/Condensate[[#This Row],[รวมยอดใช้สตีม]]/100,0)</f>
        <v>0.62419798350137479</v>
      </c>
      <c r="P32" s="1">
        <f>SUM(Condensate[[#This Row],[ยอดการใช้ Steam BHS]:[ยอดการใช้ Steam YUELI]])</f>
        <v>109.1</v>
      </c>
    </row>
    <row r="33" spans="1:16">
      <c r="A33" s="2">
        <v>45932</v>
      </c>
      <c r="B33" s="1">
        <f>VLOOKUP(Condensate[[#This Row],[วันที่]],'[4]TABLE DATA'!$V:$W,2,0)</f>
        <v>25</v>
      </c>
      <c r="C33" s="1">
        <f>[5]มิเตอร์น้ำ!AY4</f>
        <v>100</v>
      </c>
      <c r="D33" s="1">
        <f>Condensate[[#This Row],[มิเตอร์น้ำ Boiler]]-Condensate[[#This Row],[Soft Mark Up]]</f>
        <v>75</v>
      </c>
      <c r="E33" s="3">
        <f t="shared" si="0"/>
        <v>0.8</v>
      </c>
      <c r="F33" s="3">
        <f>IFERROR(Condensate[[#This Row],[น้ำ CONDENSATE กลับ]]/Condensate[[#This Row],[รวมยอดใช้สตีม]],0)</f>
        <v>0.71839080459774118</v>
      </c>
      <c r="G33" s="4">
        <f>(Condensate[[#This Row],[%  condensate ]]-Condensate[[#This Row],[Target]])/80*100</f>
        <v>-0.10201149425282358</v>
      </c>
      <c r="H33" s="5">
        <f>IFERROR(Condensate[[#This Row],[ยอดการใช้ Steam BHS]]*Condensate[[#This Row],[น้ำ CONDENSATE กลับ]]/Condensate[[#This Row],[มิเตอร์น้ำ Boiler]],0)</f>
        <v>32.174999999995634</v>
      </c>
      <c r="I33" s="3">
        <f>IFERROR(Condensate[[#This Row],[CON Return bhs]]/Condensate[[#This Row],[ยอดการใช้ Steam BHS]],0)</f>
        <v>0.75</v>
      </c>
      <c r="J33" s="6">
        <f>IFERROR(Condensate[[#This Row],[ยอดการใช้ Steam YUELI]]*Condensate[[#This Row],[น้ำ CONDENSATE กลับ]]/Condensate[[#This Row],[มิเตอร์น้ำ Boiler]],0)</f>
        <v>46.125</v>
      </c>
      <c r="K33" s="3">
        <f>IFERROR(Condensate[[#This Row],[CON Return yueli]]/Condensate[[#This Row],[ยอดการใช้ Steam YUELI]],0)</f>
        <v>0.75</v>
      </c>
      <c r="L33" s="1">
        <f>'[5]ข้อมูลตัด ถ่านหิน'!C7</f>
        <v>42.899999999994179</v>
      </c>
      <c r="M33" s="1">
        <f>'[5]ข้อมูลตัด ถ่านหิน'!D7</f>
        <v>61.5</v>
      </c>
      <c r="N33" s="3">
        <f>IFERROR(Condensate[[#This Row],[ยอดการใช้ Steam BHS]]*100/Condensate[[#This Row],[รวมยอดใช้สตีม]]/100,0)</f>
        <v>0.41091954022985222</v>
      </c>
      <c r="O33" s="3">
        <f>IFERROR(Condensate[[#This Row],[ยอดการใช้ Steam YUELI]]*100/Condensate[[#This Row],[รวมยอดใช้สตีม]]/100,0)</f>
        <v>0.58908045977014778</v>
      </c>
      <c r="P33" s="1">
        <f>SUM(Condensate[[#This Row],[ยอดการใช้ Steam BHS]:[ยอดการใช้ Steam YUELI]])</f>
        <v>104.39999999999418</v>
      </c>
    </row>
    <row r="34" spans="1:16">
      <c r="A34" s="2">
        <v>45933</v>
      </c>
      <c r="B34" s="1">
        <f>VLOOKUP(Condensate[[#This Row],[วันที่]],'[4]TABLE DATA'!$V:$W,2,0)</f>
        <v>22</v>
      </c>
      <c r="C34" s="1">
        <f>[5]มิเตอร์น้ำ!AY5</f>
        <v>98</v>
      </c>
      <c r="D34" s="1">
        <f>Condensate[[#This Row],[มิเตอร์น้ำ Boiler]]-Condensate[[#This Row],[Soft Mark Up]]</f>
        <v>76</v>
      </c>
      <c r="E34" s="3">
        <f t="shared" si="0"/>
        <v>0.8</v>
      </c>
      <c r="F34" s="3">
        <f>IFERROR(Condensate[[#This Row],[น้ำ CONDENSATE กลับ]]/Condensate[[#This Row],[รวมยอดใช้สตีม]],0)</f>
        <v>0.77630234933614961</v>
      </c>
      <c r="G34" s="4">
        <f>(Condensate[[#This Row],[%  condensate ]]-Condensate[[#This Row],[Target]])/80*100</f>
        <v>-2.9622063329813045E-2</v>
      </c>
      <c r="H34" s="5">
        <f>IFERROR(Condensate[[#This Row],[ยอดการใช้ Steam BHS]]*Condensate[[#This Row],[น้ำ CONDENSATE กลับ]]/Condensate[[#This Row],[มิเตอร์น้ำ Boiler]],0)</f>
        <v>32.416326530603214</v>
      </c>
      <c r="I34" s="3">
        <f>IFERROR(Condensate[[#This Row],[CON Return bhs]]/Condensate[[#This Row],[ยอดการใช้ Steam BHS]],0)</f>
        <v>0.77551020408163263</v>
      </c>
      <c r="J34" s="6">
        <f>IFERROR(Condensate[[#This Row],[ยอดการใช้ Steam YUELI]]*Condensate[[#This Row],[น้ำ CONDENSATE กลับ]]/Condensate[[#This Row],[มิเตอร์น้ำ Boiler]],0)</f>
        <v>43.506122448979596</v>
      </c>
      <c r="K34" s="3">
        <f>IFERROR(Condensate[[#This Row],[CON Return yueli]]/Condensate[[#This Row],[ยอดการใช้ Steam YUELI]],0)</f>
        <v>0.77551020408163274</v>
      </c>
      <c r="L34" s="1">
        <f>'[5]ข้อมูลตัด ถ่านหิน'!C8</f>
        <v>41.799999999988358</v>
      </c>
      <c r="M34" s="1">
        <f>'[5]ข้อมูลตัด ถ่านหิน'!D8</f>
        <v>56.1</v>
      </c>
      <c r="N34" s="3">
        <f>IFERROR(Condensate[[#This Row],[ยอดการใช้ Steam BHS]]*100/Condensate[[#This Row],[รวมยอดใช้สตีม]]/100,0)</f>
        <v>0.42696629213476334</v>
      </c>
      <c r="O34" s="3">
        <f>IFERROR(Condensate[[#This Row],[ยอดการใช้ Steam YUELI]]*100/Condensate[[#This Row],[รวมยอดใช้สตีม]]/100,0)</f>
        <v>0.57303370786523677</v>
      </c>
      <c r="P34" s="1">
        <f>SUM(Condensate[[#This Row],[ยอดการใช้ Steam BHS]:[ยอดการใช้ Steam YUELI]])</f>
        <v>97.899999999988353</v>
      </c>
    </row>
    <row r="35" spans="1:16">
      <c r="A35" s="2">
        <v>45934</v>
      </c>
      <c r="B35" s="1">
        <f>VLOOKUP(Condensate[[#This Row],[วันที่]],'[4]TABLE DATA'!$V:$W,2,0)</f>
        <v>19</v>
      </c>
      <c r="C35" s="1">
        <f>[5]มิเตอร์น้ำ!AY6</f>
        <v>96</v>
      </c>
      <c r="D35" s="1">
        <f>Condensate[[#This Row],[มิเตอร์น้ำ Boiler]]-Condensate[[#This Row],[Soft Mark Up]]</f>
        <v>77</v>
      </c>
      <c r="E35" s="3">
        <f t="shared" si="0"/>
        <v>0.8</v>
      </c>
      <c r="F35" s="3">
        <f>IFERROR(Condensate[[#This Row],[น้ำ CONDENSATE กลับ]]/Condensate[[#This Row],[รวมยอดใช้สตีม]],0)</f>
        <v>0.73896353166986561</v>
      </c>
      <c r="G35" s="4">
        <f>(Condensate[[#This Row],[%  condensate ]]-Condensate[[#This Row],[Target]])/80*100</f>
        <v>-7.6295585412668038E-2</v>
      </c>
      <c r="H35" s="5">
        <f>IFERROR(Condensate[[#This Row],[ยอดการใช้ Steam BHS]]*Condensate[[#This Row],[น้ำ CONDENSATE กลับ]]/Condensate[[#This Row],[มิเตอร์น้ำ Boiler]],0)</f>
        <v>32.885416666666664</v>
      </c>
      <c r="I35" s="3">
        <f>IFERROR(Condensate[[#This Row],[CON Return bhs]]/Condensate[[#This Row],[ยอดการใช้ Steam BHS]],0)</f>
        <v>0.80208333333333326</v>
      </c>
      <c r="J35" s="6">
        <f>IFERROR(Condensate[[#This Row],[ยอดการใช้ Steam YUELI]]*Condensate[[#This Row],[น้ำ CONDENSATE กลับ]]/Condensate[[#This Row],[มิเตอร์น้ำ Boiler]],0)</f>
        <v>50.69166666666667</v>
      </c>
      <c r="K35" s="3">
        <f>IFERROR(Condensate[[#This Row],[CON Return yueli]]/Condensate[[#This Row],[ยอดการใช้ Steam YUELI]],0)</f>
        <v>0.80208333333333337</v>
      </c>
      <c r="L35" s="1">
        <f>'[5]ข้อมูลตัด ถ่านหิน'!C9</f>
        <v>41</v>
      </c>
      <c r="M35" s="1">
        <f>'[5]ข้อมูลตัด ถ่านหิน'!D9</f>
        <v>63.2</v>
      </c>
      <c r="N35" s="3">
        <f>IFERROR(Condensate[[#This Row],[ยอดการใช้ Steam BHS]]*100/Condensate[[#This Row],[รวมยอดใช้สตีม]]/100,0)</f>
        <v>0.39347408829174663</v>
      </c>
      <c r="O35" s="3">
        <f>IFERROR(Condensate[[#This Row],[ยอดการใช้ Steam YUELI]]*100/Condensate[[#This Row],[รวมยอดใช้สตีม]]/100,0)</f>
        <v>0.60652591170825332</v>
      </c>
      <c r="P35" s="1">
        <f>SUM(Condensate[[#This Row],[ยอดการใช้ Steam BHS]:[ยอดการใช้ Steam YUELI]])</f>
        <v>104.2</v>
      </c>
    </row>
    <row r="36" spans="1:16">
      <c r="A36" s="2">
        <v>45935</v>
      </c>
      <c r="B36" s="1">
        <f>VLOOKUP(Condensate[[#This Row],[วันที่]],'[4]TABLE DATA'!$V:$W,2,0)</f>
        <v>20</v>
      </c>
      <c r="C36" s="1">
        <f>[5]มิเตอร์น้ำ!AY7</f>
        <v>65</v>
      </c>
      <c r="D36" s="1">
        <f>Condensate[[#This Row],[มิเตอร์น้ำ Boiler]]-Condensate[[#This Row],[Soft Mark Up]]</f>
        <v>45</v>
      </c>
      <c r="E36" s="3">
        <f t="shared" si="0"/>
        <v>0.8</v>
      </c>
      <c r="F36" s="3">
        <f>IFERROR(Condensate[[#This Row],[น้ำ CONDENSATE กลับ]]/Condensate[[#This Row],[รวมยอดใช้สตีม]],0)</f>
        <v>0.7352941176468315</v>
      </c>
      <c r="G36" s="4">
        <f>(Condensate[[#This Row],[%  condensate ]]-Condensate[[#This Row],[Target]])/80*100</f>
        <v>-8.0882352941460678E-2</v>
      </c>
      <c r="H36" s="5">
        <f>IFERROR(Condensate[[#This Row],[ยอดการใช้ Steam BHS]]*Condensate[[#This Row],[น้ำ CONDENSATE กลับ]]/Condensate[[#This Row],[มิเตอร์น้ำ Boiler]],0)</f>
        <v>21.046153846169965</v>
      </c>
      <c r="I36" s="3">
        <f>IFERROR(Condensate[[#This Row],[CON Return bhs]]/Condensate[[#This Row],[ยอดการใช้ Steam BHS]],0)</f>
        <v>0.69230769230769229</v>
      </c>
      <c r="J36" s="6">
        <f>IFERROR(Condensate[[#This Row],[ยอดการใช้ Steam YUELI]]*Condensate[[#This Row],[น้ำ CONDENSATE กลับ]]/Condensate[[#This Row],[มิเตอร์น้ำ Boiler]],0)</f>
        <v>21.323076923073902</v>
      </c>
      <c r="K36" s="3">
        <f>IFERROR(Condensate[[#This Row],[CON Return yueli]]/Condensate[[#This Row],[ยอดการใช้ Steam YUELI]],0)</f>
        <v>0.6923076923076924</v>
      </c>
      <c r="L36" s="1">
        <f>'[5]ข้อมูลตัด ถ่านหิน'!C10</f>
        <v>30.400000000023283</v>
      </c>
      <c r="M36" s="1">
        <f>'[5]ข้อมูลตัด ถ่านหิน'!D10</f>
        <v>30.799999999995634</v>
      </c>
      <c r="N36" s="3">
        <f>IFERROR(Condensate[[#This Row],[ยอดการใช้ Steam BHS]]*100/Condensate[[#This Row],[รวมยอดใช้สตีม]]/100,0)</f>
        <v>0.49673202614401774</v>
      </c>
      <c r="O36" s="3">
        <f>IFERROR(Condensate[[#This Row],[ยอดการใช้ Steam YUELI]]*100/Condensate[[#This Row],[รวมยอดใช้สตีม]]/100,0)</f>
        <v>0.50326797385598221</v>
      </c>
      <c r="P36" s="1">
        <f>SUM(Condensate[[#This Row],[ยอดการใช้ Steam BHS]:[ยอดการใช้ Steam YUELI]])</f>
        <v>61.200000000018917</v>
      </c>
    </row>
    <row r="37" spans="1:16">
      <c r="A37" s="2">
        <v>45936</v>
      </c>
      <c r="B37" s="1">
        <f>VLOOKUP(Condensate[[#This Row],[วันที่]],'[4]TABLE DATA'!$V:$W,2,0)</f>
        <v>11</v>
      </c>
      <c r="C37" s="1">
        <f>[5]มิเตอร์น้ำ!AY8</f>
        <v>65</v>
      </c>
      <c r="D37" s="1">
        <f>Condensate[[#This Row],[มิเตอร์น้ำ Boiler]]-Condensate[[#This Row],[Soft Mark Up]]</f>
        <v>54</v>
      </c>
      <c r="E37" s="3">
        <f t="shared" si="0"/>
        <v>0.8</v>
      </c>
      <c r="F37" s="3">
        <f>IFERROR(Condensate[[#This Row],[น้ำ CONDENSATE กลับ]]/Condensate[[#This Row],[รวมยอดใช้สตีม]],0)</f>
        <v>0.84905660377360437</v>
      </c>
      <c r="G37" s="4">
        <f>(Condensate[[#This Row],[%  condensate ]]-Condensate[[#This Row],[Target]])/80*100</f>
        <v>6.1320754717005398E-2</v>
      </c>
      <c r="H37" s="5">
        <f>IFERROR(Condensate[[#This Row],[ยอดการใช้ Steam BHS]]*Condensate[[#This Row],[น้ำ CONDENSATE กลับ]]/Condensate[[#This Row],[มิเตอร์น้ำ Boiler]],0)</f>
        <v>25.255384615379779</v>
      </c>
      <c r="I37" s="3">
        <f>IFERROR(Condensate[[#This Row],[CON Return bhs]]/Condensate[[#This Row],[ยอดการใช้ Steam BHS]],0)</f>
        <v>0.8307692307692307</v>
      </c>
      <c r="J37" s="6">
        <f>IFERROR(Condensate[[#This Row],[ยอดการใช้ Steam YUELI]]*Condensate[[#This Row],[น้ำ CONDENSATE กลับ]]/Condensate[[#This Row],[มิเตอร์น้ำ Boiler]],0)</f>
        <v>27.581538461542088</v>
      </c>
      <c r="K37" s="3">
        <f>IFERROR(Condensate[[#This Row],[CON Return yueli]]/Condensate[[#This Row],[ยอดการใช้ Steam YUELI]],0)</f>
        <v>0.83076923076923082</v>
      </c>
      <c r="L37" s="1">
        <f>'[5]ข้อมูลตัด ถ่านหิน'!C11</f>
        <v>30.399999999994179</v>
      </c>
      <c r="M37" s="1">
        <f>'[5]ข้อมูลตัด ถ่านหิน'!D11</f>
        <v>33.200000000004366</v>
      </c>
      <c r="N37" s="3">
        <f>IFERROR(Condensate[[#This Row],[ยอดการใช้ Steam BHS]]*100/Condensate[[#This Row],[รวมยอดใช้สตีม]]/100,0)</f>
        <v>0.4779874213835672</v>
      </c>
      <c r="O37" s="3">
        <f>IFERROR(Condensate[[#This Row],[ยอดการใช้ Steam YUELI]]*100/Condensate[[#This Row],[รวมยอดใช้สตีม]]/100,0)</f>
        <v>0.5220125786164328</v>
      </c>
      <c r="P37" s="1">
        <f>SUM(Condensate[[#This Row],[ยอดการใช้ Steam BHS]:[ยอดการใช้ Steam YUELI]])</f>
        <v>63.599999999998545</v>
      </c>
    </row>
    <row r="38" spans="1:16">
      <c r="A38" s="2">
        <v>45937</v>
      </c>
      <c r="B38" s="1">
        <f>VLOOKUP(Condensate[[#This Row],[วันที่]],'[4]TABLE DATA'!$V:$W,2,0)</f>
        <v>23</v>
      </c>
      <c r="C38" s="1">
        <f>[5]มิเตอร์น้ำ!AY9</f>
        <v>86</v>
      </c>
      <c r="D38" s="1">
        <f>Condensate[[#This Row],[มิเตอร์น้ำ Boiler]]-Condensate[[#This Row],[Soft Mark Up]]</f>
        <v>63</v>
      </c>
      <c r="E38" s="3">
        <f t="shared" si="0"/>
        <v>0.8</v>
      </c>
      <c r="F38" s="3">
        <f>IFERROR(Condensate[[#This Row],[น้ำ CONDENSATE กลับ]]/Condensate[[#This Row],[รวมยอดใช้สตีม]],0)</f>
        <v>0.71106094808121745</v>
      </c>
      <c r="G38" s="4">
        <f>(Condensate[[#This Row],[%  condensate ]]-Condensate[[#This Row],[Target]])/80*100</f>
        <v>-0.11117381489847826</v>
      </c>
      <c r="H38" s="5">
        <f>IFERROR(Condensate[[#This Row],[ยอดการใช้ Steam BHS]]*Condensate[[#This Row],[น้ำ CONDENSATE กลับ]]/Condensate[[#This Row],[มิเตอร์น้ำ Boiler]],0)</f>
        <v>30.108139534887986</v>
      </c>
      <c r="I38" s="3">
        <f>IFERROR(Condensate[[#This Row],[CON Return bhs]]/Condensate[[#This Row],[ยอดการใช้ Steam BHS]],0)</f>
        <v>0.73255813953488369</v>
      </c>
      <c r="J38" s="6">
        <f>IFERROR(Condensate[[#This Row],[ยอดการใช้ Steam YUELI]]*Condensate[[#This Row],[น้ำ CONDENSATE กลับ]]/Condensate[[#This Row],[มิเตอร์น้ำ Boiler]],0)</f>
        <v>34.796511627906973</v>
      </c>
      <c r="K38" s="3">
        <f>IFERROR(Condensate[[#This Row],[CON Return yueli]]/Condensate[[#This Row],[ยอดการใช้ Steam YUELI]],0)</f>
        <v>0.73255813953488369</v>
      </c>
      <c r="L38" s="1">
        <f>'[5]ข้อมูลตัด ถ่านหิน'!C12</f>
        <v>41.100000000005821</v>
      </c>
      <c r="M38" s="1">
        <f>'[5]ข้อมูลตัด ถ่านหิน'!D12</f>
        <v>47.5</v>
      </c>
      <c r="N38" s="3">
        <f>IFERROR(Condensate[[#This Row],[ยอดการใช้ Steam BHS]]*100/Condensate[[#This Row],[รวมยอดใช้สตีม]]/100,0)</f>
        <v>0.46388261851019325</v>
      </c>
      <c r="O38" s="3">
        <f>IFERROR(Condensate[[#This Row],[ยอดการใช้ Steam YUELI]]*100/Condensate[[#This Row],[รวมยอดใช้สตีม]]/100,0)</f>
        <v>0.53611738148980681</v>
      </c>
      <c r="P38" s="1">
        <f>SUM(Condensate[[#This Row],[ยอดการใช้ Steam BHS]:[ยอดการใช้ Steam YUELI]])</f>
        <v>88.600000000005821</v>
      </c>
    </row>
    <row r="39" spans="1:16">
      <c r="A39" s="2">
        <v>45938</v>
      </c>
      <c r="B39" s="1">
        <f>VLOOKUP(Condensate[[#This Row],[วันที่]],'[4]TABLE DATA'!$V:$W,2,0)</f>
        <v>24</v>
      </c>
      <c r="C39" s="1">
        <f>[5]มิเตอร์น้ำ!AY10</f>
        <v>91</v>
      </c>
      <c r="D39" s="1">
        <f>Condensate[[#This Row],[มิเตอร์น้ำ Boiler]]-Condensate[[#This Row],[Soft Mark Up]]</f>
        <v>67</v>
      </c>
      <c r="E39" s="3">
        <f t="shared" si="0"/>
        <v>0.8</v>
      </c>
      <c r="F39" s="3">
        <f>IFERROR(Condensate[[#This Row],[น้ำ CONDENSATE กลับ]]/Condensate[[#This Row],[รวมยอดใช้สตีม]],0)</f>
        <v>0.74944071588383965</v>
      </c>
      <c r="G39" s="4">
        <f>(Condensate[[#This Row],[%  condensate ]]-Condensate[[#This Row],[Target]])/80*100</f>
        <v>-6.3199105145200496E-2</v>
      </c>
      <c r="H39" s="5">
        <f>IFERROR(Condensate[[#This Row],[ยอดการใช้ Steam BHS]]*Condensate[[#This Row],[น้ำ CONDENSATE กลับ]]/Condensate[[#This Row],[มิเตอร์น้ำ Boiler]],0)</f>
        <v>31.070329670316813</v>
      </c>
      <c r="I39" s="3">
        <f>IFERROR(Condensate[[#This Row],[CON Return bhs]]/Condensate[[#This Row],[ยอดการใช้ Steam BHS]],0)</f>
        <v>0.7362637362637362</v>
      </c>
      <c r="J39" s="6">
        <f>IFERROR(Condensate[[#This Row],[ยอดการใช้ Steam YUELI]]*Condensate[[#This Row],[น้ำ CONDENSATE กลับ]]/Condensate[[#This Row],[มิเตอร์น้ำ Boiler]],0)</f>
        <v>34.75164835164621</v>
      </c>
      <c r="K39" s="3">
        <f>IFERROR(Condensate[[#This Row],[CON Return yueli]]/Condensate[[#This Row],[ยอดการใช้ Steam YUELI]],0)</f>
        <v>0.73626373626373631</v>
      </c>
      <c r="L39" s="1">
        <f>'[5]ข้อมูลตัด ถ่านหิน'!C13</f>
        <v>42.199999999982538</v>
      </c>
      <c r="M39" s="1">
        <f>'[5]ข้อมูลตัด ถ่านหิน'!D13</f>
        <v>47.19999999999709</v>
      </c>
      <c r="N39" s="3">
        <f>IFERROR(Condensate[[#This Row],[ยอดการใช้ Steam BHS]]*100/Condensate[[#This Row],[รวมยอดใช้สตีม]]/100,0)</f>
        <v>0.47203579418335745</v>
      </c>
      <c r="O39" s="3">
        <f>IFERROR(Condensate[[#This Row],[ยอดการใช้ Steam YUELI]]*100/Condensate[[#This Row],[รวมยอดใช้สตีม]]/100,0)</f>
        <v>0.52796420581664261</v>
      </c>
      <c r="P39" s="1">
        <f>SUM(Condensate[[#This Row],[ยอดการใช้ Steam BHS]:[ยอดการใช้ Steam YUELI]])</f>
        <v>89.399999999979627</v>
      </c>
    </row>
    <row r="40" spans="1:16">
      <c r="A40" s="2">
        <v>45939</v>
      </c>
      <c r="B40" s="1">
        <f>VLOOKUP(Condensate[[#This Row],[วันที่]],'[4]TABLE DATA'!$V:$W,2,0)</f>
        <v>23</v>
      </c>
      <c r="C40" s="1">
        <f>[5]มิเตอร์น้ำ!AY11</f>
        <v>104</v>
      </c>
      <c r="D40" s="1">
        <f>Condensate[[#This Row],[มิเตอร์น้ำ Boiler]]-Condensate[[#This Row],[Soft Mark Up]]</f>
        <v>81</v>
      </c>
      <c r="E40" s="3">
        <f t="shared" si="0"/>
        <v>0.8</v>
      </c>
      <c r="F40" s="3">
        <f>IFERROR(Condensate[[#This Row],[น้ำ CONDENSATE กลับ]]/Condensate[[#This Row],[รวมยอดใช้สตีม]],0)</f>
        <v>0.79567779960698171</v>
      </c>
      <c r="G40" s="4">
        <f>(Condensate[[#This Row],[%  condensate ]]-Condensate[[#This Row],[Target]])/80*100</f>
        <v>-5.402750491272923E-3</v>
      </c>
      <c r="H40" s="5">
        <f>IFERROR(Condensate[[#This Row],[ยอดการใช้ Steam BHS]]*Condensate[[#This Row],[น้ำ CONDENSATE กลับ]]/Condensate[[#This Row],[มิเตอร์น้ำ Boiler]],0)</f>
        <v>33.256730769239837</v>
      </c>
      <c r="I40" s="3">
        <f>IFERROR(Condensate[[#This Row],[CON Return bhs]]/Condensate[[#This Row],[ยอดการใช้ Steam BHS]],0)</f>
        <v>0.77884615384615385</v>
      </c>
      <c r="J40" s="6">
        <f>IFERROR(Condensate[[#This Row],[ยอดการใช้ Steam YUELI]]*Condensate[[#This Row],[น้ำ CONDENSATE กลับ]]/Condensate[[#This Row],[มิเตอร์น้ำ Boiler]],0)</f>
        <v>46.029807692307699</v>
      </c>
      <c r="K40" s="3">
        <f>IFERROR(Condensate[[#This Row],[CON Return yueli]]/Condensate[[#This Row],[ยอดการใช้ Steam YUELI]],0)</f>
        <v>0.77884615384615397</v>
      </c>
      <c r="L40" s="1">
        <f>'[5]ข้อมูลตัด ถ่านหิน'!C14</f>
        <v>42.700000000011642</v>
      </c>
      <c r="M40" s="1">
        <f>'[5]ข้อมูลตัด ถ่านหิน'!D14</f>
        <v>59.1</v>
      </c>
      <c r="N40" s="3">
        <f>IFERROR(Condensate[[#This Row],[ยอดการใช้ Steam BHS]]*100/Condensate[[#This Row],[รวมยอดใช้สตีม]]/100,0)</f>
        <v>0.41944990176823926</v>
      </c>
      <c r="O40" s="3">
        <f>IFERROR(Condensate[[#This Row],[ยอดการใช้ Steam YUELI]]*100/Condensate[[#This Row],[รวมยอดใช้สตีม]]/100,0)</f>
        <v>0.58055009823176074</v>
      </c>
      <c r="P40" s="1">
        <f>SUM(Condensate[[#This Row],[ยอดการใช้ Steam BHS]:[ยอดการใช้ Steam YUELI]])</f>
        <v>101.80000000001164</v>
      </c>
    </row>
    <row r="41" spans="1:16">
      <c r="A41" s="2">
        <v>45940</v>
      </c>
      <c r="B41" s="1">
        <f>VLOOKUP(Condensate[[#This Row],[วันที่]],'[4]TABLE DATA'!$V:$W,2,0)</f>
        <v>26</v>
      </c>
      <c r="C41" s="1">
        <f>[5]มิเตอร์น้ำ!AY12</f>
        <v>88</v>
      </c>
      <c r="D41" s="1">
        <f>Condensate[[#This Row],[มิเตอร์น้ำ Boiler]]-Condensate[[#This Row],[Soft Mark Up]]</f>
        <v>62</v>
      </c>
      <c r="E41" s="3">
        <f t="shared" si="0"/>
        <v>0.8</v>
      </c>
      <c r="F41" s="3">
        <f>IFERROR(Condensate[[#This Row],[น้ำ CONDENSATE กลับ]]/Condensate[[#This Row],[รวมยอดใช้สตีม]],0)</f>
        <v>0.7209302325582615</v>
      </c>
      <c r="G41" s="4">
        <f>(Condensate[[#This Row],[%  condensate ]]-Condensate[[#This Row],[Target]])/80*100</f>
        <v>-9.8837209302173171E-2</v>
      </c>
      <c r="H41" s="5">
        <f>IFERROR(Condensate[[#This Row],[ยอดการใช้ Steam BHS]]*Condensate[[#This Row],[น้ำ CONDENSATE กลับ]]/Condensate[[#This Row],[มิเตอร์น้ำ Boiler]],0)</f>
        <v>29.4499999999918</v>
      </c>
      <c r="I41" s="3">
        <f>IFERROR(Condensate[[#This Row],[CON Return bhs]]/Condensate[[#This Row],[ยอดการใช้ Steam BHS]],0)</f>
        <v>0.70454545454545459</v>
      </c>
      <c r="J41" s="6">
        <f>IFERROR(Condensate[[#This Row],[ยอดการใช้ Steam YUELI]]*Condensate[[#This Row],[น้ำ CONDENSATE กลับ]]/Condensate[[#This Row],[มิเตอร์น้ำ Boiler]],0)</f>
        <v>31.140909090907041</v>
      </c>
      <c r="K41" s="3">
        <f>IFERROR(Condensate[[#This Row],[CON Return yueli]]/Condensate[[#This Row],[ยอดการใช้ Steam YUELI]],0)</f>
        <v>0.70454545454545459</v>
      </c>
      <c r="L41" s="1">
        <f>'[5]ข้อมูลตัด ถ่านหิน'!C15</f>
        <v>41.799999999988358</v>
      </c>
      <c r="M41" s="1">
        <f>'[5]ข้อมูลตัด ถ่านหิน'!D15</f>
        <v>44.19999999999709</v>
      </c>
      <c r="N41" s="3">
        <f>IFERROR(Condensate[[#This Row],[ยอดการใช้ Steam BHS]]*100/Condensate[[#This Row],[รวมยอดใช้สตีม]]/100,0)</f>
        <v>0.48604651162785389</v>
      </c>
      <c r="O41" s="3">
        <f>IFERROR(Condensate[[#This Row],[ยอดการใช้ Steam YUELI]]*100/Condensate[[#This Row],[รวมยอดใช้สตีม]]/100,0)</f>
        <v>0.51395348837214616</v>
      </c>
      <c r="P41" s="1">
        <f>SUM(Condensate[[#This Row],[ยอดการใช้ Steam BHS]:[ยอดการใช้ Steam YUELI]])</f>
        <v>85.999999999985448</v>
      </c>
    </row>
    <row r="42" spans="1:16">
      <c r="A42" s="2">
        <v>45941</v>
      </c>
      <c r="B42" s="1">
        <f>VLOOKUP(Condensate[[#This Row],[วันที่]],'[4]TABLE DATA'!$V:$W,2,0)</f>
        <v>21</v>
      </c>
      <c r="C42" s="1">
        <f>[5]มิเตอร์น้ำ!AY13</f>
        <v>103</v>
      </c>
      <c r="D42" s="1">
        <f>Condensate[[#This Row],[มิเตอร์น้ำ Boiler]]-Condensate[[#This Row],[Soft Mark Up]]</f>
        <v>82</v>
      </c>
      <c r="E42" s="3">
        <f t="shared" si="0"/>
        <v>0.8</v>
      </c>
      <c r="F42" s="3">
        <f>IFERROR(Condensate[[#This Row],[น้ำ CONDENSATE กลับ]]/Condensate[[#This Row],[รวมยอดใช้สตีม]],0)</f>
        <v>0.80392156862740505</v>
      </c>
      <c r="G42" s="4">
        <f>(Condensate[[#This Row],[%  condensate ]]-Condensate[[#This Row],[Target]])/80*100</f>
        <v>4.901960784256254E-3</v>
      </c>
      <c r="H42" s="5">
        <f>IFERROR(Condensate[[#This Row],[ยอดการใช้ Steam BHS]]*Condensate[[#This Row],[น้ำ CONDENSATE กลับ]]/Condensate[[#This Row],[มิเตอร์น้ำ Boiler]],0)</f>
        <v>33.914563106800749</v>
      </c>
      <c r="I42" s="3">
        <f>IFERROR(Condensate[[#This Row],[CON Return bhs]]/Condensate[[#This Row],[ยอดการใช้ Steam BHS]],0)</f>
        <v>0.79611650485436891</v>
      </c>
      <c r="J42" s="6">
        <f>IFERROR(Condensate[[#This Row],[ยอดการใช้ Steam YUELI]]*Condensate[[#This Row],[น้ำ CONDENSATE กลับ]]/Condensate[[#This Row],[มิเตอร์น้ำ Boiler]],0)</f>
        <v>47.289320388349516</v>
      </c>
      <c r="K42" s="3">
        <f>IFERROR(Condensate[[#This Row],[CON Return yueli]]/Condensate[[#This Row],[ยอดการใช้ Steam YUELI]],0)</f>
        <v>0.79611650485436902</v>
      </c>
      <c r="L42" s="1">
        <f>'[5]ข้อมูลตัด ถ่านหิน'!C16</f>
        <v>42.600000000005821</v>
      </c>
      <c r="M42" s="1">
        <f>'[5]ข้อมูลตัด ถ่านหิน'!D16</f>
        <v>59.4</v>
      </c>
      <c r="N42" s="3">
        <f>IFERROR(Condensate[[#This Row],[ยอดการใช้ Steam BHS]]*100/Condensate[[#This Row],[รวมยอดใช้สตีม]]/100,0)</f>
        <v>0.41764705882356262</v>
      </c>
      <c r="O42" s="3">
        <f>IFERROR(Condensate[[#This Row],[ยอดการใช้ Steam YUELI]]*100/Condensate[[#This Row],[รวมยอดใช้สตีม]]/100,0)</f>
        <v>0.58235294117643732</v>
      </c>
      <c r="P42" s="1">
        <f>SUM(Condensate[[#This Row],[ยอดการใช้ Steam BHS]:[ยอดการใช้ Steam YUELI]])</f>
        <v>102.00000000000583</v>
      </c>
    </row>
    <row r="43" spans="1:16">
      <c r="A43" s="2">
        <v>45942</v>
      </c>
      <c r="B43" s="1">
        <f>VLOOKUP(Condensate[[#This Row],[วันที่]],'[4]TABLE DATA'!$V:$W,2,0)</f>
        <v>16</v>
      </c>
      <c r="C43" s="1">
        <f>[5]มิเตอร์น้ำ!AY14</f>
        <v>40</v>
      </c>
      <c r="D43" s="1">
        <f>Condensate[[#This Row],[มิเตอร์น้ำ Boiler]]-Condensate[[#This Row],[Soft Mark Up]]</f>
        <v>24</v>
      </c>
      <c r="E43" s="3">
        <f t="shared" si="0"/>
        <v>0.8</v>
      </c>
      <c r="F43" s="3">
        <f>IFERROR(Condensate[[#This Row],[น้ำ CONDENSATE กลับ]]/Condensate[[#This Row],[รวมยอดใช้สตีม]],0)</f>
        <v>0.59405940594078666</v>
      </c>
      <c r="G43" s="4">
        <f>(Condensate[[#This Row],[%  condensate ]]-Condensate[[#This Row],[Target]])/80*100</f>
        <v>-0.25742574257401674</v>
      </c>
      <c r="H43" s="5">
        <f>IFERROR(Condensate[[#This Row],[ยอดการใช้ Steam BHS]]*Condensate[[#This Row],[น้ำ CONDENSATE กลับ]]/Condensate[[#This Row],[มิเตอร์น้ำ Boiler]],0)</f>
        <v>10.079999999993015</v>
      </c>
      <c r="I43" s="3">
        <f>IFERROR(Condensate[[#This Row],[CON Return bhs]]/Condensate[[#This Row],[ยอดการใช้ Steam BHS]],0)</f>
        <v>0.6</v>
      </c>
      <c r="J43" s="6">
        <f>IFERROR(Condensate[[#This Row],[ยอดการใช้ Steam YUELI]]*Condensate[[#This Row],[น้ำ CONDENSATE กลับ]]/Condensate[[#This Row],[มิเตอร์น้ำ Boiler]],0)</f>
        <v>14.159999999999126</v>
      </c>
      <c r="K43" s="3">
        <f>IFERROR(Condensate[[#This Row],[CON Return yueli]]/Condensate[[#This Row],[ยอดการใช้ Steam YUELI]],0)</f>
        <v>0.6</v>
      </c>
      <c r="L43" s="1">
        <f>'[5]ข้อมูลตัด ถ่านหิน'!C17</f>
        <v>16.799999999988358</v>
      </c>
      <c r="M43" s="1">
        <f>'[5]ข้อมูลตัด ถ่านหิน'!D17</f>
        <v>23.599999999998545</v>
      </c>
      <c r="N43" s="3">
        <f>IFERROR(Condensate[[#This Row],[ยอดการใช้ Steam BHS]]*100/Condensate[[#This Row],[รวมยอดใช้สตีม]]/100,0)</f>
        <v>0.4158415841582625</v>
      </c>
      <c r="O43" s="3">
        <f>IFERROR(Condensate[[#This Row],[ยอดการใช้ Steam YUELI]]*100/Condensate[[#This Row],[รวมยอดใช้สตีม]]/100,0)</f>
        <v>0.58415841584173744</v>
      </c>
      <c r="P43" s="1">
        <f>SUM(Condensate[[#This Row],[ยอดการใช้ Steam BHS]:[ยอดการใช้ Steam YUELI]])</f>
        <v>40.399999999986903</v>
      </c>
    </row>
    <row r="44" spans="1:16">
      <c r="A44" s="2">
        <v>45943</v>
      </c>
      <c r="B44" s="1">
        <f>VLOOKUP(Condensate[[#This Row],[วันที่]],'[4]TABLE DATA'!$V:$W,2,0)</f>
        <v>0</v>
      </c>
      <c r="C44" s="1">
        <f>[5]มิเตอร์น้ำ!AY15</f>
        <v>0</v>
      </c>
      <c r="D44" s="1">
        <f>Condensate[[#This Row],[มิเตอร์น้ำ Boiler]]-Condensate[[#This Row],[Soft Mark Up]]</f>
        <v>0</v>
      </c>
      <c r="E44" s="3">
        <f t="shared" si="0"/>
        <v>0.8</v>
      </c>
      <c r="F44" s="3">
        <f>IFERROR(Condensate[[#This Row],[น้ำ CONDENSATE กลับ]]/Condensate[[#This Row],[รวมยอดใช้สตีม]],0)</f>
        <v>0</v>
      </c>
      <c r="G44" s="4">
        <f>(Condensate[[#This Row],[%  condensate ]]-Condensate[[#This Row],[Target]])/80*100</f>
        <v>-1</v>
      </c>
      <c r="H44" s="5">
        <f>IFERROR(Condensate[[#This Row],[ยอดการใช้ Steam BHS]]*Condensate[[#This Row],[น้ำ CONDENSATE กลับ]]/Condensate[[#This Row],[มิเตอร์น้ำ Boiler]],0)</f>
        <v>0</v>
      </c>
      <c r="I44" s="3">
        <f>IFERROR(Condensate[[#This Row],[CON Return bhs]]/Condensate[[#This Row],[ยอดการใช้ Steam BHS]],0)</f>
        <v>0</v>
      </c>
      <c r="J44" s="6">
        <f>IFERROR(Condensate[[#This Row],[ยอดการใช้ Steam YUELI]]*Condensate[[#This Row],[น้ำ CONDENSATE กลับ]]/Condensate[[#This Row],[มิเตอร์น้ำ Boiler]],0)</f>
        <v>0</v>
      </c>
      <c r="K44" s="3">
        <f>IFERROR(Condensate[[#This Row],[CON Return yueli]]/Condensate[[#This Row],[ยอดการใช้ Steam YUELI]],0)</f>
        <v>0</v>
      </c>
      <c r="L44" s="1">
        <f>'[5]ข้อมูลตัด ถ่านหิน'!C18</f>
        <v>0</v>
      </c>
      <c r="M44" s="1">
        <f>'[5]ข้อมูลตัด ถ่านหิน'!D18</f>
        <v>0</v>
      </c>
      <c r="N44" s="3">
        <f>IFERROR(Condensate[[#This Row],[ยอดการใช้ Steam BHS]]*100/Condensate[[#This Row],[รวมยอดใช้สตีม]]/100,0)</f>
        <v>0</v>
      </c>
      <c r="O44" s="3">
        <f>IFERROR(Condensate[[#This Row],[ยอดการใช้ Steam YUELI]]*100/Condensate[[#This Row],[รวมยอดใช้สตีม]]/100,0)</f>
        <v>0</v>
      </c>
      <c r="P44" s="1">
        <f>SUM(Condensate[[#This Row],[ยอดการใช้ Steam BHS]:[ยอดการใช้ Steam YUELI]])</f>
        <v>0</v>
      </c>
    </row>
    <row r="45" spans="1:16">
      <c r="A45" s="2">
        <v>45944</v>
      </c>
      <c r="B45" s="1">
        <f>VLOOKUP(Condensate[[#This Row],[วันที่]],'[4]TABLE DATA'!$V:$W,2,0)</f>
        <v>10</v>
      </c>
      <c r="C45" s="1">
        <f>[5]มิเตอร์น้ำ!AY16</f>
        <v>75</v>
      </c>
      <c r="D45" s="1">
        <f>Condensate[[#This Row],[มิเตอร์น้ำ Boiler]]-Condensate[[#This Row],[Soft Mark Up]]</f>
        <v>65</v>
      </c>
      <c r="E45" s="3">
        <f t="shared" si="0"/>
        <v>0.8</v>
      </c>
      <c r="F45" s="3">
        <f>IFERROR(Condensate[[#This Row],[น้ำ CONDENSATE กลับ]]/Condensate[[#This Row],[รวมยอดใช้สตีม]],0)</f>
        <v>0.83333333333327109</v>
      </c>
      <c r="G45" s="4">
        <f>(Condensate[[#This Row],[%  condensate ]]-Condensate[[#This Row],[Target]])/80*100</f>
        <v>4.1666666666588803E-2</v>
      </c>
      <c r="H45" s="5">
        <f>IFERROR(Condensate[[#This Row],[ยอดการใช้ Steam BHS]]*Condensate[[#This Row],[น้ำ CONDENSATE กลับ]]/Condensate[[#This Row],[มิเตอร์น้ำ Boiler]],0)</f>
        <v>28.686666666671712</v>
      </c>
      <c r="I45" s="3">
        <f>IFERROR(Condensate[[#This Row],[CON Return bhs]]/Condensate[[#This Row],[ยอดการใช้ Steam BHS]],0)</f>
        <v>0.8666666666666667</v>
      </c>
      <c r="J45" s="6">
        <f>IFERROR(Condensate[[#This Row],[ยอดการใช้ Steam YUELI]]*Condensate[[#This Row],[น้ำ CONDENSATE กลับ]]/Condensate[[#This Row],[มิเตอร์น้ำ Boiler]],0)</f>
        <v>38.913333333333334</v>
      </c>
      <c r="K45" s="3">
        <f>IFERROR(Condensate[[#This Row],[CON Return yueli]]/Condensate[[#This Row],[ยอดการใช้ Steam YUELI]],0)</f>
        <v>0.8666666666666667</v>
      </c>
      <c r="L45" s="1">
        <f>'[5]ข้อมูลตัด ถ่านหิน'!C19</f>
        <v>33.100000000005821</v>
      </c>
      <c r="M45" s="1">
        <f>'[5]ข้อมูลตัด ถ่านหิน'!D19</f>
        <v>44.9</v>
      </c>
      <c r="N45" s="3">
        <f>IFERROR(Condensate[[#This Row],[ยอดการใช้ Steam BHS]]*100/Condensate[[#This Row],[รวมยอดใช้สตีม]]/100,0)</f>
        <v>0.42435897435901732</v>
      </c>
      <c r="O45" s="3">
        <f>IFERROR(Condensate[[#This Row],[ยอดการใช้ Steam YUELI]]*100/Condensate[[#This Row],[รวมยอดใช้สตีม]]/100,0)</f>
        <v>0.57564102564098263</v>
      </c>
      <c r="P45" s="1">
        <f>SUM(Condensate[[#This Row],[ยอดการใช้ Steam BHS]:[ยอดการใช้ Steam YUELI]])</f>
        <v>78.000000000005826</v>
      </c>
    </row>
    <row r="46" spans="1:16">
      <c r="A46" s="2">
        <v>45945</v>
      </c>
      <c r="B46" s="1">
        <f>VLOOKUP(Condensate[[#This Row],[วันที่]],'[4]TABLE DATA'!$V:$W,2,0)</f>
        <v>22</v>
      </c>
      <c r="C46" s="1">
        <f>[5]มิเตอร์น้ำ!AY17</f>
        <v>90</v>
      </c>
      <c r="D46" s="1">
        <f>Condensate[[#This Row],[มิเตอร์น้ำ Boiler]]-Condensate[[#This Row],[Soft Mark Up]]</f>
        <v>68</v>
      </c>
      <c r="E46" s="3">
        <f t="shared" si="0"/>
        <v>0.8</v>
      </c>
      <c r="F46" s="3">
        <f>IFERROR(Condensate[[#This Row],[น้ำ CONDENSATE กลับ]]/Condensate[[#This Row],[รวมยอดใช้สตีม]],0)</f>
        <v>0.76836158192077764</v>
      </c>
      <c r="G46" s="4">
        <f>(Condensate[[#This Row],[%  condensate ]]-Condensate[[#This Row],[Target]])/80*100</f>
        <v>-3.954802259902801E-2</v>
      </c>
      <c r="H46" s="5">
        <f>IFERROR(Condensate[[#This Row],[ยอดการใช้ Steam BHS]]*Condensate[[#This Row],[น้ำ CONDENSATE กลับ]]/Condensate[[#This Row],[มิเตอร์น้ำ Boiler]],0)</f>
        <v>31.204444444457639</v>
      </c>
      <c r="I46" s="3">
        <f>IFERROR(Condensate[[#This Row],[CON Return bhs]]/Condensate[[#This Row],[ยอดการใช้ Steam BHS]],0)</f>
        <v>0.75555555555555554</v>
      </c>
      <c r="J46" s="6">
        <f>IFERROR(Condensate[[#This Row],[ยอดการใช้ Steam YUELI]]*Condensate[[#This Row],[น้ำ CONDENSATE กลับ]]/Condensate[[#This Row],[มิเตอร์น้ำ Boiler]],0)</f>
        <v>35.662222222220024</v>
      </c>
      <c r="K46" s="3">
        <f>IFERROR(Condensate[[#This Row],[CON Return yueli]]/Condensate[[#This Row],[ยอดการใช้ Steam YUELI]],0)</f>
        <v>0.75555555555555554</v>
      </c>
      <c r="L46" s="1">
        <f>'[5]ข้อมูลตัด ถ่านหิน'!C20</f>
        <v>41.300000000017462</v>
      </c>
      <c r="M46" s="1">
        <f>'[5]ข้อมูลตัด ถ่านหิน'!D20</f>
        <v>47.19999999999709</v>
      </c>
      <c r="N46" s="3">
        <f>IFERROR(Condensate[[#This Row],[ยอดการใช้ Steam BHS]]*100/Condensate[[#This Row],[รวมยอดใช้สตีม]]/100,0)</f>
        <v>0.46666666666678724</v>
      </c>
      <c r="O46" s="3">
        <f>IFERROR(Condensate[[#This Row],[ยอดการใช้ Steam YUELI]]*100/Condensate[[#This Row],[รวมยอดใช้สตีม]]/100,0)</f>
        <v>0.53333333333321276</v>
      </c>
      <c r="P46" s="1">
        <f>SUM(Condensate[[#This Row],[ยอดการใช้ Steam BHS]:[ยอดการใช้ Steam YUELI]])</f>
        <v>88.500000000014552</v>
      </c>
    </row>
    <row r="47" spans="1:16">
      <c r="A47" s="2">
        <v>45946</v>
      </c>
      <c r="B47" s="1">
        <f>VLOOKUP(Condensate[[#This Row],[วันที่]],'[4]TABLE DATA'!$V:$W,2,0)</f>
        <v>21</v>
      </c>
      <c r="C47" s="1">
        <f>[5]มิเตอร์น้ำ!AY18</f>
        <v>83</v>
      </c>
      <c r="D47" s="1">
        <f>Condensate[[#This Row],[มิเตอร์น้ำ Boiler]]-Condensate[[#This Row],[Soft Mark Up]]</f>
        <v>62</v>
      </c>
      <c r="E47" s="3">
        <f t="shared" si="0"/>
        <v>0.8</v>
      </c>
      <c r="F47" s="3">
        <f>IFERROR(Condensate[[#This Row],[น้ำ CONDENSATE กลับ]]/Condensate[[#This Row],[รวมยอดใช้สตีม]],0)</f>
        <v>0.73113207547186121</v>
      </c>
      <c r="G47" s="4">
        <f>(Condensate[[#This Row],[%  condensate ]]-Condensate[[#This Row],[Target]])/80*100</f>
        <v>-8.6084905660173544E-2</v>
      </c>
      <c r="H47" s="5">
        <f>IFERROR(Condensate[[#This Row],[ยอดการใช้ Steam BHS]]*Condensate[[#This Row],[น้ำ CONDENSATE กลับ]]/Condensate[[#This Row],[มิเตอร์น้ำ Boiler]],0)</f>
        <v>31.1493975903484</v>
      </c>
      <c r="I47" s="3">
        <f>IFERROR(Condensate[[#This Row],[CON Return bhs]]/Condensate[[#This Row],[ยอดการใช้ Steam BHS]],0)</f>
        <v>0.74698795180722888</v>
      </c>
      <c r="J47" s="6">
        <f>IFERROR(Condensate[[#This Row],[ยอดการใช้ Steam YUELI]]*Condensate[[#This Row],[น้ำ CONDENSATE กลับ]]/Condensate[[#This Row],[มิเตอร์น้ำ Boiler]],0)</f>
        <v>32.195180722890477</v>
      </c>
      <c r="K47" s="3">
        <f>IFERROR(Condensate[[#This Row],[CON Return yueli]]/Condensate[[#This Row],[ยอดการใช้ Steam YUELI]],0)</f>
        <v>0.74698795180722888</v>
      </c>
      <c r="L47" s="1">
        <f>'[5]ข้อมูลตัด ถ่านหิน'!C21</f>
        <v>41.699999999982538</v>
      </c>
      <c r="M47" s="1">
        <f>'[5]ข้อมูลตัด ถ่านหิน'!D21</f>
        <v>43.099999999998545</v>
      </c>
      <c r="N47" s="3">
        <f>IFERROR(Condensate[[#This Row],[ยอดการใช้ Steam BHS]]*100/Condensate[[#This Row],[รวมยอดใช้สตีม]]/100,0)</f>
        <v>0.49174528301877168</v>
      </c>
      <c r="O47" s="3">
        <f>IFERROR(Condensate[[#This Row],[ยอดการใช้ Steam YUELI]]*100/Condensate[[#This Row],[รวมยอดใช้สตีม]]/100,0)</f>
        <v>0.50825471698122837</v>
      </c>
      <c r="P47" s="1">
        <f>SUM(Condensate[[#This Row],[ยอดการใช้ Steam BHS]:[ยอดการใช้ Steam YUELI]])</f>
        <v>84.799999999981083</v>
      </c>
    </row>
    <row r="48" spans="1:16">
      <c r="A48" s="2">
        <v>45947</v>
      </c>
      <c r="B48" s="1">
        <f>VLOOKUP(Condensate[[#This Row],[วันที่]],'[4]TABLE DATA'!$V:$W,2,0)</f>
        <v>21</v>
      </c>
      <c r="C48" s="1">
        <f>[5]มิเตอร์น้ำ!AY19</f>
        <v>84</v>
      </c>
      <c r="D48" s="1">
        <f>Condensate[[#This Row],[มิเตอร์น้ำ Boiler]]-Condensate[[#This Row],[Soft Mark Up]]</f>
        <v>63</v>
      </c>
      <c r="E48" s="3">
        <f t="shared" si="0"/>
        <v>0.8</v>
      </c>
      <c r="F48" s="3">
        <f>IFERROR(Condensate[[#This Row],[น้ำ CONDENSATE กลับ]]/Condensate[[#This Row],[รวมยอดใช้สตีม]],0)</f>
        <v>0.72330654420195784</v>
      </c>
      <c r="G48" s="4">
        <f>(Condensate[[#This Row],[%  condensate ]]-Condensate[[#This Row],[Target]])/80*100</f>
        <v>-9.5866819747552762E-2</v>
      </c>
      <c r="H48" s="5">
        <f>IFERROR(Condensate[[#This Row],[ยอดการใช้ Steam BHS]]*Condensate[[#This Row],[น้ำ CONDENSATE กลับ]]/Condensate[[#This Row],[มิเตอร์น้ำ Boiler]],0)</f>
        <v>30.900000000008731</v>
      </c>
      <c r="I48" s="3">
        <f>IFERROR(Condensate[[#This Row],[CON Return bhs]]/Condensate[[#This Row],[ยอดการใช้ Steam BHS]],0)</f>
        <v>0.75</v>
      </c>
      <c r="J48" s="6">
        <f>IFERROR(Condensate[[#This Row],[ยอดการใช้ Steam YUELI]]*Condensate[[#This Row],[น้ำ CONDENSATE กลับ]]/Condensate[[#This Row],[มิเตอร์น้ำ Boiler]],0)</f>
        <v>34.425000000001091</v>
      </c>
      <c r="K48" s="3">
        <f>IFERROR(Condensate[[#This Row],[CON Return yueli]]/Condensate[[#This Row],[ยอดการใช้ Steam YUELI]],0)</f>
        <v>0.75</v>
      </c>
      <c r="L48" s="1">
        <f>'[5]ข้อมูลตัด ถ่านหิน'!C22</f>
        <v>41.200000000011642</v>
      </c>
      <c r="M48" s="1">
        <f>'[5]ข้อมูลตัด ถ่านหิน'!D22</f>
        <v>45.900000000001455</v>
      </c>
      <c r="N48" s="3">
        <f>IFERROR(Condensate[[#This Row],[ยอดการใช้ Steam BHS]]*100/Condensate[[#This Row],[รวมยอดใช้สตีม]]/100,0)</f>
        <v>0.47301951779569973</v>
      </c>
      <c r="O48" s="3">
        <f>IFERROR(Condensate[[#This Row],[ยอดการใช้ Steam YUELI]]*100/Condensate[[#This Row],[รวมยอดใช้สตีม]]/100,0)</f>
        <v>0.52698048220430027</v>
      </c>
      <c r="P48" s="1">
        <f>SUM(Condensate[[#This Row],[ยอดการใช้ Steam BHS]:[ยอดการใช้ Steam YUELI]])</f>
        <v>87.100000000013097</v>
      </c>
    </row>
    <row r="49" spans="1:16">
      <c r="A49" s="2">
        <v>45948</v>
      </c>
      <c r="B49" s="1">
        <f>VLOOKUP(Condensate[[#This Row],[วันที่]],'[4]TABLE DATA'!$V:$W,2,0)</f>
        <v>22</v>
      </c>
      <c r="C49" s="1">
        <f>[5]มิเตอร์น้ำ!AY20</f>
        <v>86</v>
      </c>
      <c r="D49" s="1">
        <f>Condensate[[#This Row],[มิเตอร์น้ำ Boiler]]-Condensate[[#This Row],[Soft Mark Up]]</f>
        <v>64</v>
      </c>
      <c r="E49" s="3">
        <f t="shared" si="0"/>
        <v>0.8</v>
      </c>
      <c r="F49" s="3">
        <f>IFERROR(Condensate[[#This Row],[น้ำ CONDENSATE กลับ]]/Condensate[[#This Row],[รวมยอดใช้สตีม]],0)</f>
        <v>0.73310423825891413</v>
      </c>
      <c r="G49" s="4">
        <f>(Condensate[[#This Row],[%  condensate ]]-Condensate[[#This Row],[Target]])/80*100</f>
        <v>-8.3619702176357391E-2</v>
      </c>
      <c r="H49" s="5">
        <f>IFERROR(Condensate[[#This Row],[ยอดการใช้ Steam BHS]]*Condensate[[#This Row],[น้ำ CONDENSATE กลับ]]/Condensate[[#This Row],[มิเตอร์น้ำ Boiler]],0)</f>
        <v>31.181395348832879</v>
      </c>
      <c r="I49" s="3">
        <f>IFERROR(Condensate[[#This Row],[CON Return bhs]]/Condensate[[#This Row],[ยอดการใช้ Steam BHS]],0)</f>
        <v>0.7441860465116279</v>
      </c>
      <c r="J49" s="6">
        <f>IFERROR(Condensate[[#This Row],[ยอดการใช้ Steam YUELI]]*Condensate[[#This Row],[น้ำ CONDENSATE กลับ]]/Condensate[[#This Row],[มิเตอร์น้ำ Boiler]],0)</f>
        <v>33.786046511628989</v>
      </c>
      <c r="K49" s="3">
        <f>IFERROR(Condensate[[#This Row],[CON Return yueli]]/Condensate[[#This Row],[ยอดการใช้ Steam YUELI]],0)</f>
        <v>0.7441860465116279</v>
      </c>
      <c r="L49" s="1">
        <f>'[5]ข้อมูลตัด ถ่านหิน'!C23</f>
        <v>41.899999999994179</v>
      </c>
      <c r="M49" s="1">
        <f>'[5]ข้อมูลตัด ถ่านหิน'!D23</f>
        <v>45.400000000001455</v>
      </c>
      <c r="N49" s="3">
        <f>IFERROR(Condensate[[#This Row],[ยอดการใช้ Steam BHS]]*100/Condensate[[#This Row],[รวมยอดใช้สตีม]]/100,0)</f>
        <v>0.47995418098506609</v>
      </c>
      <c r="O49" s="3">
        <f>IFERROR(Condensate[[#This Row],[ยอดการใช้ Steam YUELI]]*100/Condensate[[#This Row],[รวมยอดใช้สตีม]]/100,0)</f>
        <v>0.52004581901493385</v>
      </c>
      <c r="P49" s="1">
        <f>SUM(Condensate[[#This Row],[ยอดการใช้ Steam BHS]:[ยอดการใช้ Steam YUELI]])</f>
        <v>87.299999999995634</v>
      </c>
    </row>
    <row r="50" spans="1:16">
      <c r="A50" s="2">
        <v>45949</v>
      </c>
      <c r="B50" s="1">
        <f>VLOOKUP(Condensate[[#This Row],[วันที่]],'[4]TABLE DATA'!$V:$W,2,0)</f>
        <v>10</v>
      </c>
      <c r="C50" s="1">
        <f>[5]มิเตอร์น้ำ!AY21</f>
        <v>17</v>
      </c>
      <c r="D50" s="1">
        <f>Condensate[[#This Row],[มิเตอร์น้ำ Boiler]]-Condensate[[#This Row],[Soft Mark Up]]</f>
        <v>7</v>
      </c>
      <c r="E50" s="3">
        <f t="shared" si="0"/>
        <v>0.8</v>
      </c>
      <c r="F50" s="3">
        <f>IFERROR(Condensate[[#This Row],[น้ำ CONDENSATE กลับ]]/Condensate[[#This Row],[รวมยอดใช้สตีม]],0)</f>
        <v>0.37837837837867599</v>
      </c>
      <c r="G50" s="4">
        <f>(Condensate[[#This Row],[%  condensate ]]-Condensate[[#This Row],[Target]])/80*100</f>
        <v>-0.52702702702665505</v>
      </c>
      <c r="H50" s="5">
        <f>IFERROR(Condensate[[#This Row],[ยอดการใช้ Steam BHS]]*Condensate[[#This Row],[น้ำ CONDENSATE กลับ]]/Condensate[[#This Row],[มิเตอร์น้ำ Boiler]],0)</f>
        <v>3.8294117647010886</v>
      </c>
      <c r="I50" s="3">
        <f>IFERROR(Condensate[[#This Row],[CON Return bhs]]/Condensate[[#This Row],[ยอดการใช้ Steam BHS]],0)</f>
        <v>0.41176470588235292</v>
      </c>
      <c r="J50" s="6">
        <f>IFERROR(Condensate[[#This Row],[ยอดการใช้ Steam YUELI]]*Condensate[[#This Row],[น้ำ CONDENSATE กลับ]]/Condensate[[#This Row],[มิเตอร์น้ำ Boiler]],0)</f>
        <v>3.7882352941164488</v>
      </c>
      <c r="K50" s="3">
        <f>IFERROR(Condensate[[#This Row],[CON Return yueli]]/Condensate[[#This Row],[ยอดการใช้ Steam YUELI]],0)</f>
        <v>0.41176470588235298</v>
      </c>
      <c r="L50" s="1">
        <f>'[5]ข้อมูลตัด ถ่านหิน'!C24</f>
        <v>9.2999999999883585</v>
      </c>
      <c r="M50" s="1">
        <f>'[5]ข้อมูลตัด ถ่านหิน'!D24</f>
        <v>9.1999999999970896</v>
      </c>
      <c r="N50" s="3">
        <f>IFERROR(Condensate[[#This Row],[ยอดการใช้ Steam BHS]]*100/Condensate[[#This Row],[รวมยอดใช้สตีม]]/100,0)</f>
        <v>0.50270270270246886</v>
      </c>
      <c r="O50" s="3">
        <f>IFERROR(Condensate[[#This Row],[ยอดการใช้ Steam YUELI]]*100/Condensate[[#This Row],[รวมยอดใช้สตีม]]/100,0)</f>
        <v>0.49729729729753119</v>
      </c>
      <c r="P50" s="1">
        <f>SUM(Condensate[[#This Row],[ยอดการใช้ Steam BHS]:[ยอดการใช้ Steam YUELI]])</f>
        <v>18.499999999985448</v>
      </c>
    </row>
    <row r="51" spans="1:16">
      <c r="A51" s="2">
        <v>45950</v>
      </c>
      <c r="B51" s="1">
        <f>VLOOKUP(Condensate[[#This Row],[วันที่]],'[4]TABLE DATA'!$V:$W,2,0)</f>
        <v>8</v>
      </c>
      <c r="C51" s="1">
        <f>[5]มิเตอร์น้ำ!AY22</f>
        <v>68</v>
      </c>
      <c r="D51" s="1">
        <f>Condensate[[#This Row],[มิเตอร์น้ำ Boiler]]-Condensate[[#This Row],[Soft Mark Up]]</f>
        <v>60</v>
      </c>
      <c r="E51" s="3">
        <f t="shared" si="0"/>
        <v>0.8</v>
      </c>
      <c r="F51" s="3">
        <f>IFERROR(Condensate[[#This Row],[น้ำ CONDENSATE กลับ]]/Condensate[[#This Row],[รวมยอดใช้สตีม]],0)</f>
        <v>0.9375</v>
      </c>
      <c r="G51" s="4">
        <f>(Condensate[[#This Row],[%  condensate ]]-Condensate[[#This Row],[Target]])/80*100</f>
        <v>0.17187499999999994</v>
      </c>
      <c r="H51" s="5">
        <f>IFERROR(Condensate[[#This Row],[ยอดการใช้ Steam BHS]]*Condensate[[#This Row],[น้ำ CONDENSATE กลับ]]/Condensate[[#This Row],[มิเตอร์น้ำ Boiler]],0)</f>
        <v>26.470588235294116</v>
      </c>
      <c r="I51" s="3">
        <f>IFERROR(Condensate[[#This Row],[CON Return bhs]]/Condensate[[#This Row],[ยอดการใช้ Steam BHS]],0)</f>
        <v>0.88235294117647056</v>
      </c>
      <c r="J51" s="6">
        <f>IFERROR(Condensate[[#This Row],[ยอดการใช้ Steam YUELI]]*Condensate[[#This Row],[น้ำ CONDENSATE กลับ]]/Condensate[[#This Row],[มิเตอร์น้ำ Boiler]],0)</f>
        <v>30</v>
      </c>
      <c r="K51" s="3">
        <f>IFERROR(Condensate[[#This Row],[CON Return yueli]]/Condensate[[#This Row],[ยอดการใช้ Steam YUELI]],0)</f>
        <v>0.88235294117647056</v>
      </c>
      <c r="L51" s="1">
        <f>'[5]ข้อมูลตัด ถ่านหิน'!C25</f>
        <v>30</v>
      </c>
      <c r="M51" s="1">
        <f>'[5]ข้อมูลตัด ถ่านหิน'!D25</f>
        <v>34</v>
      </c>
      <c r="N51" s="3">
        <f>IFERROR(Condensate[[#This Row],[ยอดการใช้ Steam BHS]]*100/Condensate[[#This Row],[รวมยอดใช้สตีม]]/100,0)</f>
        <v>0.46875</v>
      </c>
      <c r="O51" s="3">
        <f>IFERROR(Condensate[[#This Row],[ยอดการใช้ Steam YUELI]]*100/Condensate[[#This Row],[รวมยอดใช้สตีม]]/100,0)</f>
        <v>0.53125</v>
      </c>
      <c r="P51" s="1">
        <f>SUM(Condensate[[#This Row],[ยอดการใช้ Steam BHS]:[ยอดการใช้ Steam YUELI]])</f>
        <v>64</v>
      </c>
    </row>
    <row r="52" spans="1:16">
      <c r="A52" s="2">
        <v>45951</v>
      </c>
      <c r="B52" s="1">
        <f>VLOOKUP(Condensate[[#This Row],[วันที่]],'[4]TABLE DATA'!$V:$W,2,0)</f>
        <v>19</v>
      </c>
      <c r="C52" s="1">
        <f>[5]มิเตอร์น้ำ!AY23</f>
        <v>87</v>
      </c>
      <c r="D52" s="1">
        <f>Condensate[[#This Row],[มิเตอร์น้ำ Boiler]]-Condensate[[#This Row],[Soft Mark Up]]</f>
        <v>68</v>
      </c>
      <c r="E52" s="3">
        <f t="shared" si="0"/>
        <v>0.8</v>
      </c>
      <c r="F52" s="3">
        <f>IFERROR(Condensate[[#This Row],[น้ำ CONDENSATE กลับ]]/Condensate[[#This Row],[รวมยอดใช้สตีม]],0)</f>
        <v>0.73275862068960917</v>
      </c>
      <c r="G52" s="4">
        <f>(Condensate[[#This Row],[%  condensate ]]-Condensate[[#This Row],[Target]])/80*100</f>
        <v>-8.4051724137988587E-2</v>
      </c>
      <c r="H52" s="5">
        <f>IFERROR(Condensate[[#This Row],[ยอดการใช้ Steam BHS]]*Condensate[[#This Row],[น้ำ CONDENSATE กลับ]]/Condensate[[#This Row],[มิเตอร์น้ำ Boiler]],0)</f>
        <v>32.514942528740178</v>
      </c>
      <c r="I52" s="3">
        <f>IFERROR(Condensate[[#This Row],[CON Return bhs]]/Condensate[[#This Row],[ยอดการใช้ Steam BHS]],0)</f>
        <v>0.78160919540229878</v>
      </c>
      <c r="J52" s="6">
        <f>IFERROR(Condensate[[#This Row],[ยอดการใช้ Steam YUELI]]*Condensate[[#This Row],[น้ำ CONDENSATE กลับ]]/Condensate[[#This Row],[มิเตอร์น้ำ Boiler]],0)</f>
        <v>40.018390804597708</v>
      </c>
      <c r="K52" s="3">
        <f>IFERROR(Condensate[[#This Row],[CON Return yueli]]/Condensate[[#This Row],[ยอดการใช้ Steam YUELI]],0)</f>
        <v>0.7816091954022989</v>
      </c>
      <c r="L52" s="1">
        <f>'[5]ข้อมูลตัด ถ่านหิน'!C26</f>
        <v>41.600000000005821</v>
      </c>
      <c r="M52" s="1">
        <f>'[5]ข้อมูลตัด ถ่านหิน'!D26</f>
        <v>51.2</v>
      </c>
      <c r="N52" s="3">
        <f>IFERROR(Condensate[[#This Row],[ยอดการใช้ Steam BHS]]*100/Condensate[[#This Row],[รวมยอดใช้สตีม]]/100,0)</f>
        <v>0.44827586206900011</v>
      </c>
      <c r="O52" s="3">
        <f>IFERROR(Condensate[[#This Row],[ยอดการใช้ Steam YUELI]]*100/Condensate[[#This Row],[รวมยอดใช้สตีม]]/100,0)</f>
        <v>0.55172413793099984</v>
      </c>
      <c r="P52" s="1">
        <f>SUM(Condensate[[#This Row],[ยอดการใช้ Steam BHS]:[ยอดการใช้ Steam YUELI]])</f>
        <v>92.800000000005824</v>
      </c>
    </row>
    <row r="53" spans="1:16">
      <c r="A53" s="2">
        <v>45952</v>
      </c>
      <c r="B53" s="1">
        <f>VLOOKUP(Condensate[[#This Row],[วันที่]],'[4]TABLE DATA'!$V:$W,2,0)</f>
        <v>17</v>
      </c>
      <c r="C53" s="1">
        <f>[5]มิเตอร์น้ำ!AY24</f>
        <v>91</v>
      </c>
      <c r="D53" s="1">
        <f>Condensate[[#This Row],[มิเตอร์น้ำ Boiler]]-Condensate[[#This Row],[Soft Mark Up]]</f>
        <v>74</v>
      </c>
      <c r="E53" s="3">
        <f t="shared" si="0"/>
        <v>0.8</v>
      </c>
      <c r="F53" s="3">
        <f>IFERROR(Condensate[[#This Row],[น้ำ CONDENSATE กลับ]]/Condensate[[#This Row],[รวมยอดใช้สตีม]],0)</f>
        <v>0.81140350877195577</v>
      </c>
      <c r="G53" s="4">
        <f>(Condensate[[#This Row],[%  condensate ]]-Condensate[[#This Row],[Target]])/80*100</f>
        <v>1.4254385964944659E-2</v>
      </c>
      <c r="H53" s="5">
        <f>IFERROR(Condensate[[#This Row],[ยอดการใช้ Steam BHS]]*Condensate[[#This Row],[น้ำ CONDENSATE กลับ]]/Condensate[[#This Row],[มิเตอร์น้ำ Boiler]],0)</f>
        <v>32.120879120879124</v>
      </c>
      <c r="I53" s="3">
        <f>IFERROR(Condensate[[#This Row],[CON Return bhs]]/Condensate[[#This Row],[ยอดการใช้ Steam BHS]],0)</f>
        <v>0.8131868131868133</v>
      </c>
      <c r="J53" s="6">
        <f>IFERROR(Condensate[[#This Row],[ยอดการใช้ Steam YUELI]]*Condensate[[#This Row],[น้ำ CONDENSATE กลับ]]/Condensate[[#This Row],[มิเตอร์น้ำ Boiler]],0)</f>
        <v>42.041758241755872</v>
      </c>
      <c r="K53" s="3">
        <f>IFERROR(Condensate[[#This Row],[CON Return yueli]]/Condensate[[#This Row],[ยอดการใช้ Steam YUELI]],0)</f>
        <v>0.81318681318681307</v>
      </c>
      <c r="L53" s="1">
        <f>'[5]ข้อมูลตัด ถ่านหิน'!C27</f>
        <v>39.5</v>
      </c>
      <c r="M53" s="1">
        <f>'[5]ข้อมูลตัด ถ่านหิน'!D27</f>
        <v>51.69999999999709</v>
      </c>
      <c r="N53" s="3">
        <f>IFERROR(Condensate[[#This Row],[ยอดการใช้ Steam BHS]]*100/Condensate[[#This Row],[รวมยอดใช้สตีม]]/100,0)</f>
        <v>0.43311403508773311</v>
      </c>
      <c r="O53" s="3">
        <f>IFERROR(Condensate[[#This Row],[ยอดการใช้ Steam YUELI]]*100/Condensate[[#This Row],[รวมยอดใช้สตีม]]/100,0)</f>
        <v>0.56688596491226695</v>
      </c>
      <c r="P53" s="1">
        <f>SUM(Condensate[[#This Row],[ยอดการใช้ Steam BHS]:[ยอดการใช้ Steam YUELI]])</f>
        <v>91.19999999999709</v>
      </c>
    </row>
    <row r="54" spans="1:16">
      <c r="A54" s="2">
        <v>45953</v>
      </c>
      <c r="B54" s="1">
        <f>VLOOKUP(Condensate[[#This Row],[วันที่]],'[4]TABLE DATA'!$V:$W,2,0)</f>
        <v>22</v>
      </c>
      <c r="C54" s="1">
        <f>[5]มิเตอร์น้ำ!AY25</f>
        <v>82</v>
      </c>
      <c r="D54" s="1">
        <f>Condensate[[#This Row],[มิเตอร์น้ำ Boiler]]-Condensate[[#This Row],[Soft Mark Up]]</f>
        <v>60</v>
      </c>
      <c r="E54" s="3">
        <f t="shared" si="0"/>
        <v>0.8</v>
      </c>
      <c r="F54" s="3">
        <f>IFERROR(Condensate[[#This Row],[น้ำ CONDENSATE กลับ]]/Condensate[[#This Row],[รวมยอดใช้สตีม]],0)</f>
        <v>0.80428954423594057</v>
      </c>
      <c r="G54" s="4">
        <f>(Condensate[[#This Row],[%  condensate ]]-Condensate[[#This Row],[Target]])/80*100</f>
        <v>5.3619302949256542E-3</v>
      </c>
      <c r="H54" s="5">
        <f>IFERROR(Condensate[[#This Row],[ยอดการใช้ Steam BHS]]*Condensate[[#This Row],[น้ำ CONDENSATE กลับ]]/Condensate[[#This Row],[มิเตอร์น้ำ Boiler]],0)</f>
        <v>31.829268292682926</v>
      </c>
      <c r="I54" s="3">
        <f>IFERROR(Condensate[[#This Row],[CON Return bhs]]/Condensate[[#This Row],[ยอดการใช้ Steam BHS]],0)</f>
        <v>0.73170731707317072</v>
      </c>
      <c r="J54" s="6">
        <f>IFERROR(Condensate[[#This Row],[ยอดการใช้ Steam YUELI]]*Condensate[[#This Row],[น้ำ CONDENSATE กลับ]]/Condensate[[#This Row],[มิเตอร์น้ำ Boiler]],0)</f>
        <v>22.756097560974546</v>
      </c>
      <c r="K54" s="3">
        <f>IFERROR(Condensate[[#This Row],[CON Return yueli]]/Condensate[[#This Row],[ยอดการใช้ Steam YUELI]],0)</f>
        <v>0.73170731707317072</v>
      </c>
      <c r="L54" s="1">
        <f>'[5]ข้อมูลตัด ถ่านหิน'!C28</f>
        <v>43.5</v>
      </c>
      <c r="M54" s="1">
        <f>'[5]ข้อมูลตัด ถ่านหิน'!D28</f>
        <v>31.099999999998545</v>
      </c>
      <c r="N54" s="3">
        <f>IFERROR(Condensate[[#This Row],[ยอดการใช้ Steam BHS]]*100/Condensate[[#This Row],[รวมยอดใช้สตีม]]/100,0)</f>
        <v>0.58310991957105696</v>
      </c>
      <c r="O54" s="3">
        <f>IFERROR(Condensate[[#This Row],[ยอดการใช้ Steam YUELI]]*100/Condensate[[#This Row],[รวมยอดใช้สตีม]]/100,0)</f>
        <v>0.4168900804289431</v>
      </c>
      <c r="P54" s="1">
        <f>SUM(Condensate[[#This Row],[ยอดการใช้ Steam BHS]:[ยอดการใช้ Steam YUELI]])</f>
        <v>74.599999999998545</v>
      </c>
    </row>
    <row r="55" spans="1:16">
      <c r="A55" s="2">
        <v>45954</v>
      </c>
      <c r="B55" s="1">
        <f>VLOOKUP(Condensate[[#This Row],[วันที่]],'[4]TABLE DATA'!$V:$W,2,0)</f>
        <v>19</v>
      </c>
      <c r="C55" s="1">
        <f>[5]มิเตอร์น้ำ!AY26</f>
        <v>91</v>
      </c>
      <c r="D55" s="1">
        <f>Condensate[[#This Row],[มิเตอร์น้ำ Boiler]]-Condensate[[#This Row],[Soft Mark Up]]</f>
        <v>72</v>
      </c>
      <c r="E55" s="3">
        <f t="shared" si="0"/>
        <v>0.8</v>
      </c>
      <c r="F55" s="3">
        <f>IFERROR(Condensate[[#This Row],[น้ำ CONDENSATE กลับ]]/Condensate[[#This Row],[รวมยอดใช้สตีม]],0)</f>
        <v>0.78774617067838715</v>
      </c>
      <c r="G55" s="4">
        <f>(Condensate[[#This Row],[%  condensate ]]-Condensate[[#This Row],[Target]])/80*100</f>
        <v>-1.5317286652016121E-2</v>
      </c>
      <c r="H55" s="5">
        <f>IFERROR(Condensate[[#This Row],[ยอดการใช้ Steam BHS]]*Condensate[[#This Row],[น้ำ CONDENSATE กลับ]]/Condensate[[#This Row],[มิเตอร์น้ำ Boiler]],0)</f>
        <v>31.964835164830561</v>
      </c>
      <c r="I55" s="3">
        <f>IFERROR(Condensate[[#This Row],[CON Return bhs]]/Condensate[[#This Row],[ยอดการใช้ Steam BHS]],0)</f>
        <v>0.79120879120879128</v>
      </c>
      <c r="J55" s="6">
        <f>IFERROR(Condensate[[#This Row],[ยอดการใช้ Steam YUELI]]*Condensate[[#This Row],[น้ำ CONDENSATE กลับ]]/Condensate[[#This Row],[มิเตอร์น้ำ Boiler]],0)</f>
        <v>40.35164835164835</v>
      </c>
      <c r="K55" s="3">
        <f>IFERROR(Condensate[[#This Row],[CON Return yueli]]/Condensate[[#This Row],[ยอดการใช้ Steam YUELI]],0)</f>
        <v>0.79120879120879117</v>
      </c>
      <c r="L55" s="1">
        <f>'[5]ข้อมูลตัด ถ่านหิน'!C29</f>
        <v>40.399999999994179</v>
      </c>
      <c r="M55" s="1">
        <f>'[5]ข้อมูลตัด ถ่านหิน'!D29</f>
        <v>51</v>
      </c>
      <c r="N55" s="3">
        <f>IFERROR(Condensate[[#This Row],[ยอดการใช้ Steam BHS]]*100/Condensate[[#This Row],[รวมยอดใช้สตีม]]/100,0)</f>
        <v>0.4420131291028091</v>
      </c>
      <c r="O55" s="3">
        <f>IFERROR(Condensate[[#This Row],[ยอดการใช้ Steam YUELI]]*100/Condensate[[#This Row],[รวมยอดใช้สตีม]]/100,0)</f>
        <v>0.5579868708971909</v>
      </c>
      <c r="P55" s="1">
        <f>SUM(Condensate[[#This Row],[ยอดการใช้ Steam BHS]:[ยอดการใช้ Steam YUELI]])</f>
        <v>91.399999999994179</v>
      </c>
    </row>
    <row r="56" spans="1:16">
      <c r="A56" s="2">
        <v>45955</v>
      </c>
      <c r="B56" s="1">
        <f>VLOOKUP(Condensate[[#This Row],[วันที่]],'[4]TABLE DATA'!$V:$W,2,0)</f>
        <v>22</v>
      </c>
      <c r="C56" s="1">
        <f>[5]มิเตอร์น้ำ!AY27</f>
        <v>94</v>
      </c>
      <c r="D56" s="1">
        <f>Condensate[[#This Row],[มิเตอร์น้ำ Boiler]]-Condensate[[#This Row],[Soft Mark Up]]</f>
        <v>72</v>
      </c>
      <c r="E56" s="3">
        <f t="shared" si="0"/>
        <v>0.8</v>
      </c>
      <c r="F56" s="3">
        <f>IFERROR(Condensate[[#This Row],[น้ำ CONDENSATE กลับ]]/Condensate[[#This Row],[รวมยอดใช้สตีม]],0)</f>
        <v>0.80536912751663436</v>
      </c>
      <c r="G56" s="4">
        <f>(Condensate[[#This Row],[%  condensate ]]-Condensate[[#This Row],[Target]])/80*100</f>
        <v>6.7114093957929E-3</v>
      </c>
      <c r="H56" s="5">
        <f>IFERROR(Condensate[[#This Row],[ยอดการใช้ Steam BHS]]*Condensate[[#This Row],[น้ำ CONDENSATE กลับ]]/Condensate[[#This Row],[มิเตอร์น้ำ Boiler]],0)</f>
        <v>33.548936170226142</v>
      </c>
      <c r="I56" s="3">
        <f>IFERROR(Condensate[[#This Row],[CON Return bhs]]/Condensate[[#This Row],[ยอดการใช้ Steam BHS]],0)</f>
        <v>0.76595744680851063</v>
      </c>
      <c r="J56" s="6">
        <f>IFERROR(Condensate[[#This Row],[ยอดการใช้ Steam YUELI]]*Condensate[[#This Row],[น้ำ CONDENSATE กลับ]]/Condensate[[#This Row],[มิเตอร์น้ำ Boiler]],0)</f>
        <v>34.927659574466972</v>
      </c>
      <c r="K56" s="3">
        <f>IFERROR(Condensate[[#This Row],[CON Return yueli]]/Condensate[[#This Row],[ยอดการใช้ Steam YUELI]],0)</f>
        <v>0.76595744680851063</v>
      </c>
      <c r="L56" s="1">
        <f>'[5]ข้อมูลตัด ถ่านหิน'!C30</f>
        <v>43.800000000017462</v>
      </c>
      <c r="M56" s="1">
        <f>'[5]ข้อมูลตัด ถ่านหิน'!D30</f>
        <v>45.599999999998545</v>
      </c>
      <c r="N56" s="3">
        <f>IFERROR(Condensate[[#This Row],[ยอดการใช้ Steam BHS]]*100/Condensate[[#This Row],[รวมยอดใช้สตีม]]/100,0)</f>
        <v>0.48993288590614786</v>
      </c>
      <c r="O56" s="3">
        <f>IFERROR(Condensate[[#This Row],[ยอดการใช้ Steam YUELI]]*100/Condensate[[#This Row],[รวมยอดใช้สตีม]]/100,0)</f>
        <v>0.51006711409385208</v>
      </c>
      <c r="P56" s="1">
        <f>SUM(Condensate[[#This Row],[ยอดการใช้ Steam BHS]:[ยอดการใช้ Steam YUELI]])</f>
        <v>89.400000000016007</v>
      </c>
    </row>
    <row r="57" spans="1:16">
      <c r="A57" s="2">
        <v>45956</v>
      </c>
      <c r="B57" s="1">
        <f>VLOOKUP(Condensate[[#This Row],[วันที่]],'[4]TABLE DATA'!$V:$W,2,0)</f>
        <v>8</v>
      </c>
      <c r="C57" s="1">
        <f>[5]มิเตอร์น้ำ!AY28</f>
        <v>19</v>
      </c>
      <c r="D57" s="1">
        <f>Condensate[[#This Row],[มิเตอร์น้ำ Boiler]]-Condensate[[#This Row],[Soft Mark Up]]</f>
        <v>11</v>
      </c>
      <c r="E57" s="3">
        <f t="shared" si="0"/>
        <v>0.8</v>
      </c>
      <c r="F57" s="3">
        <f>IFERROR(Condensate[[#This Row],[น้ำ CONDENSATE กลับ]]/Condensate[[#This Row],[รวมยอดใช้สตีม]],0)</f>
        <v>0.56994818652862633</v>
      </c>
      <c r="G57" s="4">
        <f>(Condensate[[#This Row],[%  condensate ]]-Condensate[[#This Row],[Target]])/80*100</f>
        <v>-0.28756476683921711</v>
      </c>
      <c r="H57" s="5">
        <f>IFERROR(Condensate[[#This Row],[ยอดการใช้ Steam BHS]]*Condensate[[#This Row],[น้ำ CONDENSATE กลับ]]/Condensate[[#This Row],[มิเตอร์น้ำ Boiler]],0)</f>
        <v>5.4421052631545246</v>
      </c>
      <c r="I57" s="3">
        <f>IFERROR(Condensate[[#This Row],[CON Return bhs]]/Condensate[[#This Row],[ยอดการใช้ Steam BHS]],0)</f>
        <v>0.57894736842105265</v>
      </c>
      <c r="J57" s="6">
        <f>IFERROR(Condensate[[#This Row],[ยอดการใช้ Steam YUELI]]*Condensate[[#This Row],[น้ำ CONDENSATE กลับ]]/Condensate[[#This Row],[มิเตอร์น้ำ Boiler]],0)</f>
        <v>5.7315789473692638</v>
      </c>
      <c r="K57" s="3">
        <f>IFERROR(Condensate[[#This Row],[CON Return yueli]]/Condensate[[#This Row],[ยอดการใช้ Steam YUELI]],0)</f>
        <v>0.57894736842105265</v>
      </c>
      <c r="L57" s="1">
        <f>'[5]ข้อมูลตัด ถ่านหิน'!C31</f>
        <v>9.3999999999941792</v>
      </c>
      <c r="M57" s="1">
        <f>'[5]ข้อมูลตัด ถ่านหิน'!D31</f>
        <v>9.9000000000014552</v>
      </c>
      <c r="N57" s="3">
        <f>IFERROR(Condensate[[#This Row],[ยอดการใช้ Steam BHS]]*100/Condensate[[#This Row],[รวมยอดใช้สตีม]]/100,0)</f>
        <v>0.48704663212416094</v>
      </c>
      <c r="O57" s="3">
        <f>IFERROR(Condensate[[#This Row],[ยอดการใช้ Steam YUELI]]*100/Condensate[[#This Row],[รวมยอดใช้สตีม]]/100,0)</f>
        <v>0.51295336787583912</v>
      </c>
      <c r="P57" s="1">
        <f>SUM(Condensate[[#This Row],[ยอดการใช้ Steam BHS]:[ยอดการใช้ Steam YUELI]])</f>
        <v>19.299999999995634</v>
      </c>
    </row>
    <row r="58" spans="1:16">
      <c r="A58" s="2">
        <v>45957</v>
      </c>
      <c r="B58" s="1">
        <f>VLOOKUP(Condensate[[#This Row],[วันที่]],'[4]TABLE DATA'!$V:$W,2,0)</f>
        <v>11</v>
      </c>
      <c r="C58" s="1">
        <f>[5]มิเตอร์น้ำ!AY29</f>
        <v>50</v>
      </c>
      <c r="D58" s="1">
        <f>Condensate[[#This Row],[มิเตอร์น้ำ Boiler]]-Condensate[[#This Row],[Soft Mark Up]]</f>
        <v>39</v>
      </c>
      <c r="E58" s="3">
        <f t="shared" si="0"/>
        <v>0.8</v>
      </c>
      <c r="F58" s="3">
        <f>IFERROR(Condensate[[#This Row],[น้ำ CONDENSATE กลับ]]/Condensate[[#This Row],[รวมยอดใช้สตีม]],0)</f>
        <v>0.84967320261408275</v>
      </c>
      <c r="G58" s="4">
        <f>(Condensate[[#This Row],[%  condensate ]]-Condensate[[#This Row],[Target]])/80*100</f>
        <v>6.2091503267603376E-2</v>
      </c>
      <c r="H58" s="5">
        <f>IFERROR(Condensate[[#This Row],[ยอดการใช้ Steam BHS]]*Condensate[[#This Row],[น้ำ CONDENSATE กลับ]]/Condensate[[#This Row],[มิเตอร์น้ำ Boiler]],0)</f>
        <v>16.146000000009082</v>
      </c>
      <c r="I58" s="3">
        <f>IFERROR(Condensate[[#This Row],[CON Return bhs]]/Condensate[[#This Row],[ยอดการใช้ Steam BHS]],0)</f>
        <v>0.78</v>
      </c>
      <c r="J58" s="6">
        <f>IFERROR(Condensate[[#This Row],[ยอดการใช้ Steam YUELI]]*Condensate[[#This Row],[น้ำ CONDENSATE กลับ]]/Condensate[[#This Row],[มิเตอร์น้ำ Boiler]],0)</f>
        <v>19.656000000003406</v>
      </c>
      <c r="K58" s="3">
        <f>IFERROR(Condensate[[#This Row],[CON Return yueli]]/Condensate[[#This Row],[ยอดการใช้ Steam YUELI]],0)</f>
        <v>0.78</v>
      </c>
      <c r="L58" s="1">
        <f>'[5]ข้อมูลตัด ถ่านหิน'!C32</f>
        <v>20.700000000011642</v>
      </c>
      <c r="M58" s="1">
        <f>'[5]ข้อมูลตัด ถ่านหิน'!D32</f>
        <v>25.200000000004366</v>
      </c>
      <c r="N58" s="3">
        <f>IFERROR(Condensate[[#This Row],[ยอดการใช้ Steam BHS]]*100/Condensate[[#This Row],[รวมยอดใช้สตีม]]/100,0)</f>
        <v>0.45098039215695912</v>
      </c>
      <c r="O58" s="3">
        <f>IFERROR(Condensate[[#This Row],[ยอดการใช้ Steam YUELI]]*100/Condensate[[#This Row],[รวมยอดใช้สตีม]]/100,0)</f>
        <v>0.54901960784304082</v>
      </c>
      <c r="P58" s="1">
        <f>SUM(Condensate[[#This Row],[ยอดการใช้ Steam BHS]:[ยอดการใช้ Steam YUELI]])</f>
        <v>45.900000000016007</v>
      </c>
    </row>
    <row r="59" spans="1:16">
      <c r="A59" s="2">
        <v>45958</v>
      </c>
      <c r="B59" s="1">
        <f>VLOOKUP(Condensate[[#This Row],[วันที่]],'[4]TABLE DATA'!$V:$W,2,0)</f>
        <v>19</v>
      </c>
      <c r="C59" s="1">
        <f>[5]มิเตอร์น้ำ!AY30</f>
        <v>87</v>
      </c>
      <c r="D59" s="1">
        <f>Condensate[[#This Row],[มิเตอร์น้ำ Boiler]]-Condensate[[#This Row],[Soft Mark Up]]</f>
        <v>68</v>
      </c>
      <c r="E59" s="3">
        <f t="shared" si="0"/>
        <v>0.8</v>
      </c>
      <c r="F59" s="3">
        <f>IFERROR(Condensate[[#This Row],[น้ำ CONDENSATE กลับ]]/Condensate[[#This Row],[รวมยอดใช้สตีม]],0)</f>
        <v>0.77803203661327225</v>
      </c>
      <c r="G59" s="4">
        <f>(Condensate[[#This Row],[%  condensate ]]-Condensate[[#This Row],[Target]])/80*100</f>
        <v>-2.7459954233409745E-2</v>
      </c>
      <c r="H59" s="5">
        <f>IFERROR(Condensate[[#This Row],[ยอดการใช้ Steam BHS]]*Condensate[[#This Row],[น้ำ CONDENSATE กลับ]]/Condensate[[#This Row],[มิเตอร์น้ำ Boiler]],0)</f>
        <v>33.609195402298852</v>
      </c>
      <c r="I59" s="3">
        <f>IFERROR(Condensate[[#This Row],[CON Return bhs]]/Condensate[[#This Row],[ยอดการใช้ Steam BHS]],0)</f>
        <v>0.7816091954022989</v>
      </c>
      <c r="J59" s="6">
        <f>IFERROR(Condensate[[#This Row],[ยอดการใช้ Steam YUELI]]*Condensate[[#This Row],[น้ำ CONDENSATE กลับ]]/Condensate[[#This Row],[มิเตอร์น้ำ Boiler]],0)</f>
        <v>34.703448275862065</v>
      </c>
      <c r="K59" s="3">
        <f>IFERROR(Condensate[[#This Row],[CON Return yueli]]/Condensate[[#This Row],[ยอดการใช้ Steam YUELI]],0)</f>
        <v>0.78160919540229878</v>
      </c>
      <c r="L59" s="1">
        <f>'[5]ข้อมูลตัด ถ่านหิน'!C33</f>
        <v>43</v>
      </c>
      <c r="M59" s="1">
        <f>'[5]ข้อมูลตัด ถ่านหิน'!D33</f>
        <v>44.4</v>
      </c>
      <c r="N59" s="3">
        <f>IFERROR(Condensate[[#This Row],[ยอดการใช้ Steam BHS]]*100/Condensate[[#This Row],[รวมยอดใช้สตีม]]/100,0)</f>
        <v>0.49199084668192211</v>
      </c>
      <c r="O59" s="3">
        <f>IFERROR(Condensate[[#This Row],[ยอดการใช้ Steam YUELI]]*100/Condensate[[#This Row],[รวมยอดใช้สตีม]]/100,0)</f>
        <v>0.50800915331807783</v>
      </c>
      <c r="P59" s="1">
        <f>SUM(Condensate[[#This Row],[ยอดการใช้ Steam BHS]:[ยอดการใช้ Steam YUELI]])</f>
        <v>87.4</v>
      </c>
    </row>
    <row r="60" spans="1:16">
      <c r="A60" s="2">
        <v>45959</v>
      </c>
      <c r="B60" s="1">
        <f>VLOOKUP(Condensate[[#This Row],[วันที่]],'[4]TABLE DATA'!$V:$W,2,0)</f>
        <v>18</v>
      </c>
      <c r="C60" s="1">
        <f>[5]มิเตอร์น้ำ!AY31</f>
        <v>104</v>
      </c>
      <c r="D60" s="1">
        <f>Condensate[[#This Row],[มิเตอร์น้ำ Boiler]]-Condensate[[#This Row],[Soft Mark Up]]</f>
        <v>86</v>
      </c>
      <c r="E60" s="3">
        <f t="shared" si="0"/>
        <v>0.8</v>
      </c>
      <c r="F60" s="3">
        <f>IFERROR(Condensate[[#This Row],[น้ำ CONDENSATE กลับ]]/Condensate[[#This Row],[รวมยอดใช้สตีม]],0)</f>
        <v>0.79703429101019463</v>
      </c>
      <c r="G60" s="4">
        <f>(Condensate[[#This Row],[%  condensate ]]-Condensate[[#This Row],[Target]])/80*100</f>
        <v>-3.7071362372567696E-3</v>
      </c>
      <c r="H60" s="5">
        <f>IFERROR(Condensate[[#This Row],[ยอดการใช้ Steam BHS]]*Condensate[[#This Row],[น้ำ CONDENSATE กลับ]]/Condensate[[#This Row],[มิเตอร์น้ำ Boiler]],0)</f>
        <v>35.971153846153847</v>
      </c>
      <c r="I60" s="3">
        <f>IFERROR(Condensate[[#This Row],[CON Return bhs]]/Condensate[[#This Row],[ยอดการใช้ Steam BHS]],0)</f>
        <v>0.82692307692307698</v>
      </c>
      <c r="J60" s="6">
        <f>IFERROR(Condensate[[#This Row],[ยอดการใช้ Steam YUELI]]*Condensate[[#This Row],[น้ำ CONDENSATE กลับ]]/Condensate[[#This Row],[มิเตอร์น้ำ Boiler]],0)</f>
        <v>53.253846153846162</v>
      </c>
      <c r="K60" s="3">
        <f>IFERROR(Condensate[[#This Row],[CON Return yueli]]/Condensate[[#This Row],[ยอดการใช้ Steam YUELI]],0)</f>
        <v>0.82692307692307698</v>
      </c>
      <c r="L60" s="1">
        <f>'[5]ข้อมูลตัด ถ่านหิน'!C34</f>
        <v>43.5</v>
      </c>
      <c r="M60" s="1">
        <f>'[5]ข้อมูลตัด ถ่านหิน'!D34</f>
        <v>64.400000000000006</v>
      </c>
      <c r="N60" s="3">
        <f>IFERROR(Condensate[[#This Row],[ยอดการใช้ Steam BHS]]*100/Condensate[[#This Row],[รวมยอดใช้สตีม]]/100,0)</f>
        <v>0.40315106580166821</v>
      </c>
      <c r="O60" s="3">
        <f>IFERROR(Condensate[[#This Row],[ยอดการใช้ Steam YUELI]]*100/Condensate[[#This Row],[รวมยอดใช้สตีม]]/100,0)</f>
        <v>0.59684893419833185</v>
      </c>
      <c r="P60" s="1">
        <f>SUM(Condensate[[#This Row],[ยอดการใช้ Steam BHS]:[ยอดการใช้ Steam YUELI]])</f>
        <v>107.9</v>
      </c>
    </row>
    <row r="61" spans="1:16">
      <c r="A61" s="2">
        <v>45960</v>
      </c>
      <c r="B61" s="1">
        <f>VLOOKUP(Condensate[[#This Row],[วันที่]],'[4]TABLE DATA'!$V:$W,2,0)</f>
        <v>22</v>
      </c>
      <c r="C61" s="1">
        <f>[5]มิเตอร์น้ำ!AY32</f>
        <v>84</v>
      </c>
      <c r="D61" s="1">
        <f>Condensate[[#This Row],[มิเตอร์น้ำ Boiler]]-Condensate[[#This Row],[Soft Mark Up]]</f>
        <v>62</v>
      </c>
      <c r="E61" s="3">
        <f t="shared" si="0"/>
        <v>0.8</v>
      </c>
      <c r="F61" s="3">
        <f>IFERROR(Condensate[[#This Row],[น้ำ CONDENSATE กลับ]]/Condensate[[#This Row],[รวมยอดใช้สตีม]],0)</f>
        <v>0.71925754060327252</v>
      </c>
      <c r="G61" s="4">
        <f>(Condensate[[#This Row],[%  condensate ]]-Condensate[[#This Row],[Target]])/80*100</f>
        <v>-0.10092807424590942</v>
      </c>
      <c r="H61" s="5">
        <f>IFERROR(Condensate[[#This Row],[ยอดการใช้ Steam BHS]]*Condensate[[#This Row],[น้ำ CONDENSATE กลับ]]/Condensate[[#This Row],[มิเตอร์น้ำ Boiler]],0)</f>
        <v>29.892857142857142</v>
      </c>
      <c r="I61" s="3">
        <f>IFERROR(Condensate[[#This Row],[CON Return bhs]]/Condensate[[#This Row],[ยอดการใช้ Steam BHS]],0)</f>
        <v>0.73809523809523814</v>
      </c>
      <c r="J61" s="6">
        <f>IFERROR(Condensate[[#This Row],[ยอดการใช้ Steam YUELI]]*Condensate[[#This Row],[น้ำ CONDENSATE กลับ]]/Condensate[[#This Row],[มิเตอร์น้ำ Boiler]],0)</f>
        <v>33.730952380950235</v>
      </c>
      <c r="K61" s="3">
        <f>IFERROR(Condensate[[#This Row],[CON Return yueli]]/Condensate[[#This Row],[ยอดการใช้ Steam YUELI]],0)</f>
        <v>0.73809523809523814</v>
      </c>
      <c r="L61" s="1">
        <f>'[5]ข้อมูลตัด ถ่านหิน'!C35</f>
        <v>40.5</v>
      </c>
      <c r="M61" s="1">
        <f>'[5]ข้อมูลตัด ถ่านหิน'!D35</f>
        <v>45.69999999999709</v>
      </c>
      <c r="N61" s="3">
        <f>IFERROR(Condensate[[#This Row],[ยอดการใช้ Steam BHS]]*100/Condensate[[#This Row],[รวมยอดใช้สตีม]]/100,0)</f>
        <v>0.46983758700697642</v>
      </c>
      <c r="O61" s="3">
        <f>IFERROR(Condensate[[#This Row],[ยอดการใช้ Steam YUELI]]*100/Condensate[[#This Row],[รวมยอดใช้สตีม]]/100,0)</f>
        <v>0.53016241299302358</v>
      </c>
      <c r="P61" s="1">
        <f>SUM(Condensate[[#This Row],[ยอดการใช้ Steam BHS]:[ยอดการใช้ Steam YUELI]])</f>
        <v>86.19999999999709</v>
      </c>
    </row>
    <row r="62" spans="1:16">
      <c r="A62" s="2">
        <v>45961</v>
      </c>
      <c r="B62" s="1">
        <f>VLOOKUP(Condensate[[#This Row],[วันที่]],'[4]TABLE DATA'!$V:$W,2,0)</f>
        <v>21</v>
      </c>
      <c r="C62" s="1">
        <f>[5]มิเตอร์น้ำ!AY33</f>
        <v>104</v>
      </c>
      <c r="D62" s="1">
        <f>Condensate[[#This Row],[มิเตอร์น้ำ Boiler]]-Condensate[[#This Row],[Soft Mark Up]]</f>
        <v>83</v>
      </c>
      <c r="E62" s="3">
        <f t="shared" si="0"/>
        <v>0.8</v>
      </c>
      <c r="F62" s="3">
        <f>IFERROR(Condensate[[#This Row],[น้ำ CONDENSATE กลับ]]/Condensate[[#This Row],[รวมยอดใช้สตีม]],0)</f>
        <v>0.7844990548205022</v>
      </c>
      <c r="G62" s="4">
        <f>(Condensate[[#This Row],[%  condensate ]]-Condensate[[#This Row],[Target]])/80*100</f>
        <v>-1.9376181474372312E-2</v>
      </c>
      <c r="H62" s="5">
        <f>IFERROR(Condensate[[#This Row],[ยอดการใช้ Steam BHS]]*Condensate[[#This Row],[น้ำ CONDENSATE กลับ]]/Condensate[[#This Row],[มิเตอร์น้ำ Boiler]],0)</f>
        <v>34.556730769221481</v>
      </c>
      <c r="I62" s="3">
        <f>IFERROR(Condensate[[#This Row],[CON Return bhs]]/Condensate[[#This Row],[ยอดการใช้ Steam BHS]],0)</f>
        <v>0.79807692307692313</v>
      </c>
      <c r="J62" s="6">
        <f>IFERROR(Condensate[[#This Row],[ยอดการใช้ Steam YUELI]]*Condensate[[#This Row],[น้ำ CONDENSATE กลับ]]/Condensate[[#This Row],[มิเตอร์น้ำ Boiler]],0)</f>
        <v>49.879807692307693</v>
      </c>
      <c r="K62" s="3">
        <f>IFERROR(Condensate[[#This Row],[CON Return yueli]]/Condensate[[#This Row],[ยอดการใช้ Steam YUELI]],0)</f>
        <v>0.79807692307692313</v>
      </c>
      <c r="L62" s="1">
        <f>'[5]ข้อมูลตัด ถ่านหิน'!C36</f>
        <v>43.299999999988358</v>
      </c>
      <c r="M62" s="1">
        <f>'[5]ข้อมูลตัด ถ่านหิน'!D36</f>
        <v>62.5</v>
      </c>
      <c r="N62" s="3">
        <f>IFERROR(Condensate[[#This Row],[ยอดการใช้ Steam BHS]]*100/Condensate[[#This Row],[รวมยอดใช้สตีม]]/100,0)</f>
        <v>0.4092627599243206</v>
      </c>
      <c r="O62" s="3">
        <f>IFERROR(Condensate[[#This Row],[ยอดการใช้ Steam YUELI]]*100/Condensate[[#This Row],[รวมยอดใช้สตีม]]/100,0)</f>
        <v>0.5907372400756794</v>
      </c>
      <c r="P62" s="1">
        <f>SUM(Condensate[[#This Row],[ยอดการใช้ Steam BHS]:[ยอดการใช้ Steam YUELI]])</f>
        <v>105.79999999998836</v>
      </c>
    </row>
    <row r="63" spans="1:16">
      <c r="A63" s="2">
        <v>45962</v>
      </c>
      <c r="B63" s="1">
        <f>VLOOKUP(Condensate[[#This Row],[วันที่]],'[6]TABLE DATA'!$V:$W,2,0)</f>
        <v>22</v>
      </c>
      <c r="C63" s="1">
        <f>[7]มิเตอร์น้ำ!BD3</f>
        <v>91</v>
      </c>
      <c r="D63" s="1">
        <f>Condensate[[#This Row],[มิเตอร์น้ำ Boiler]]-Condensate[[#This Row],[Soft Mark Up]]</f>
        <v>69</v>
      </c>
      <c r="E63" s="3">
        <f t="shared" si="0"/>
        <v>0.8</v>
      </c>
      <c r="F63" s="3">
        <f>IFERROR(Condensate[[#This Row],[น้ำ CONDENSATE กลับ]]/Condensate[[#This Row],[รวมยอดใช้สตีม]],0)</f>
        <v>0.77528089887634111</v>
      </c>
      <c r="G63" s="4">
        <f>(Condensate[[#This Row],[%  condensate ]]-Condensate[[#This Row],[Target]])/80*100</f>
        <v>-3.0898876404573672E-2</v>
      </c>
      <c r="H63" s="5">
        <f>IFERROR(Condensate[[#This Row],[ยอดการใช้ Steam BHS]]*Condensate[[#This Row],[น้ำ CONDENSATE กลับ]]/Condensate[[#This Row],[มิเตอร์น้ำ Boiler]],0)</f>
        <v>31.542857142861557</v>
      </c>
      <c r="I63" s="3">
        <f>IFERROR(Condensate[[#This Row],[CON Return bhs]]/Condensate[[#This Row],[ยอดการใช้ Steam BHS]],0)</f>
        <v>0.75824175824175821</v>
      </c>
      <c r="J63" s="6">
        <f>IFERROR(Condensate[[#This Row],[ยอดการใช้ Steam YUELI]]*Condensate[[#This Row],[น้ำ CONDENSATE กลับ]]/Condensate[[#This Row],[มิเตอร์น้ำ Boiler]],0)</f>
        <v>35.940659340660446</v>
      </c>
      <c r="K63" s="3">
        <f>IFERROR(Condensate[[#This Row],[CON Return yueli]]/Condensate[[#This Row],[ยอดการใช้ Steam YUELI]],0)</f>
        <v>0.75824175824175832</v>
      </c>
      <c r="L63" s="1">
        <f>'[7]ข้อมูลตัด ถ่านหิน'!C6</f>
        <v>41.600000000005821</v>
      </c>
      <c r="M63" s="1">
        <f>'[7]ข้อมูลตัด ถ่านหิน'!D6</f>
        <v>47.400000000001455</v>
      </c>
      <c r="N63" s="3">
        <f>IFERROR(Condensate[[#This Row],[ยอดการใช้ Steam BHS]]*100/Condensate[[#This Row],[รวมยอดใช้สตีม]]/100,0)</f>
        <v>0.46741573033710587</v>
      </c>
      <c r="O63" s="3">
        <f>IFERROR(Condensate[[#This Row],[ยอดการใช้ Steam YUELI]]*100/Condensate[[#This Row],[รวมยอดใช้สตีม]]/100,0)</f>
        <v>0.53258426966289418</v>
      </c>
      <c r="P63" s="1">
        <f>SUM(Condensate[[#This Row],[ยอดการใช้ Steam BHS]:[ยอดการใช้ Steam YUELI]])</f>
        <v>89.000000000007276</v>
      </c>
    </row>
    <row r="64" spans="1:16">
      <c r="A64" s="2">
        <v>45963</v>
      </c>
      <c r="B64" s="1">
        <f>VLOOKUP(Condensate[[#This Row],[วันที่]],'[6]TABLE DATA'!$V:$W,2,0)</f>
        <v>17</v>
      </c>
      <c r="C64" s="1">
        <f>[7]มิเตอร์น้ำ!BD4</f>
        <v>60</v>
      </c>
      <c r="D64" s="1">
        <f>Condensate[[#This Row],[มิเตอร์น้ำ Boiler]]-Condensate[[#This Row],[Soft Mark Up]]</f>
        <v>43</v>
      </c>
      <c r="E64" s="3">
        <f t="shared" si="0"/>
        <v>0.8</v>
      </c>
      <c r="F64" s="3">
        <f>IFERROR(Condensate[[#This Row],[น้ำ CONDENSATE กลับ]]/Condensate[[#This Row],[รวมยอดใช้สตีม]],0)</f>
        <v>0.73883161512021944</v>
      </c>
      <c r="G64" s="4">
        <f>(Condensate[[#This Row],[%  condensate ]]-Condensate[[#This Row],[Target]])/80*100</f>
        <v>-7.6460481099725752E-2</v>
      </c>
      <c r="H64" s="5">
        <f>IFERROR(Condensate[[#This Row],[ยอดการใช้ Steam BHS]]*Condensate[[#This Row],[น้ำ CONDENSATE กลับ]]/Condensate[[#This Row],[มิเตอร์น้ำ Boiler]],0)</f>
        <v>22.646666666670839</v>
      </c>
      <c r="I64" s="3">
        <f>IFERROR(Condensate[[#This Row],[CON Return bhs]]/Condensate[[#This Row],[ยอดการใช้ Steam BHS]],0)</f>
        <v>0.71666666666666667</v>
      </c>
      <c r="J64" s="6">
        <f>IFERROR(Condensate[[#This Row],[ยอดการใช้ Steam YUELI]]*Condensate[[#This Row],[น้ำ CONDENSATE กลับ]]/Condensate[[#This Row],[มิเตอร์น้ำ Boiler]],0)</f>
        <v>19.063333333332292</v>
      </c>
      <c r="K64" s="3">
        <f>IFERROR(Condensate[[#This Row],[CON Return yueli]]/Condensate[[#This Row],[ยอดการใช้ Steam YUELI]],0)</f>
        <v>0.71666666666666667</v>
      </c>
      <c r="L64" s="1">
        <f>'[7]ข้อมูลตัด ถ่านหิน'!C7</f>
        <v>31.600000000005821</v>
      </c>
      <c r="M64" s="1">
        <f>'[7]ข้อมูลตัด ถ่านหิน'!D7</f>
        <v>26.599999999998545</v>
      </c>
      <c r="N64" s="3">
        <f>IFERROR(Condensate[[#This Row],[ยอดการใช้ Steam BHS]]*100/Condensate[[#This Row],[รวมยอดใช้สตีม]]/100,0)</f>
        <v>0.54295532646054046</v>
      </c>
      <c r="O64" s="3">
        <f>IFERROR(Condensate[[#This Row],[ยอดการใช้ Steam YUELI]]*100/Condensate[[#This Row],[รวมยอดใช้สตีม]]/100,0)</f>
        <v>0.4570446735394596</v>
      </c>
      <c r="P64" s="1">
        <f>SUM(Condensate[[#This Row],[ยอดการใช้ Steam BHS]:[ยอดการใช้ Steam YUELI]])</f>
        <v>58.200000000004366</v>
      </c>
    </row>
    <row r="65" spans="1:16">
      <c r="A65" s="2">
        <v>45964</v>
      </c>
      <c r="B65" s="1">
        <f>VLOOKUP(Condensate[[#This Row],[วันที่]],'[6]TABLE DATA'!$V:$W,2,0)</f>
        <v>6</v>
      </c>
      <c r="C65" s="1">
        <f>[7]มิเตอร์น้ำ!BD5</f>
        <v>68</v>
      </c>
      <c r="D65" s="1">
        <f>Condensate[[#This Row],[มิเตอร์น้ำ Boiler]]-Condensate[[#This Row],[Soft Mark Up]]</f>
        <v>62</v>
      </c>
      <c r="E65" s="3">
        <f t="shared" si="0"/>
        <v>0.8</v>
      </c>
      <c r="F65" s="3">
        <f>IFERROR(Condensate[[#This Row],[น้ำ CONDENSATE กลับ]]/Condensate[[#This Row],[รวมยอดใช้สตีม]],0)</f>
        <v>0.94224924012164302</v>
      </c>
      <c r="G65" s="4">
        <f>(Condensate[[#This Row],[%  condensate ]]-Condensate[[#This Row],[Target]])/80*100</f>
        <v>0.17781155015205372</v>
      </c>
      <c r="H65" s="5">
        <f>IFERROR(Condensate[[#This Row],[ยอดการใช้ Steam BHS]]*Condensate[[#This Row],[น้ำ CONDENSATE กลับ]]/Condensate[[#This Row],[มิเตอร์น้ำ Boiler]],0)</f>
        <v>27.808823529411764</v>
      </c>
      <c r="I65" s="3">
        <f>IFERROR(Condensate[[#This Row],[CON Return bhs]]/Condensate[[#This Row],[ยอดการใช้ Steam BHS]],0)</f>
        <v>0.91176470588235292</v>
      </c>
      <c r="J65" s="6">
        <f>IFERROR(Condensate[[#This Row],[ยอดการใช้ Steam YUELI]]*Condensate[[#This Row],[น้ำ CONDENSATE กลับ]]/Condensate[[#This Row],[มิเตอร์น้ำ Boiler]],0)</f>
        <v>32.185294117643082</v>
      </c>
      <c r="K65" s="3">
        <f>IFERROR(Condensate[[#This Row],[CON Return yueli]]/Condensate[[#This Row],[ยอดการใช้ Steam YUELI]],0)</f>
        <v>0.91176470588235303</v>
      </c>
      <c r="L65" s="1">
        <f>'[7]ข้อมูลตัด ถ่านหิน'!C8</f>
        <v>30.5</v>
      </c>
      <c r="M65" s="1">
        <f>'[7]ข้อมูลตัด ถ่านหิน'!D8</f>
        <v>35.299999999995634</v>
      </c>
      <c r="N65" s="3">
        <f>IFERROR(Condensate[[#This Row],[ยอดการใช้ Steam BHS]]*100/Condensate[[#This Row],[รวมยอดใช้สตีม]]/100,0)</f>
        <v>0.46352583586629215</v>
      </c>
      <c r="O65" s="3">
        <f>IFERROR(Condensate[[#This Row],[ยอดการใช้ Steam YUELI]]*100/Condensate[[#This Row],[รวมยอดใช้สตีม]]/100,0)</f>
        <v>0.53647416413370785</v>
      </c>
      <c r="P65" s="1">
        <f>SUM(Condensate[[#This Row],[ยอดการใช้ Steam BHS]:[ยอดการใช้ Steam YUELI]])</f>
        <v>65.799999999995634</v>
      </c>
    </row>
    <row r="66" spans="1:16">
      <c r="A66" s="2">
        <v>45965</v>
      </c>
      <c r="B66" s="1">
        <f>VLOOKUP(Condensate[[#This Row],[วันที่]],'[6]TABLE DATA'!$V:$W,2,0)</f>
        <v>18</v>
      </c>
      <c r="C66" s="1">
        <f>[7]มิเตอร์น้ำ!BD6</f>
        <v>97</v>
      </c>
      <c r="D66" s="1">
        <f>Condensate[[#This Row],[มิเตอร์น้ำ Boiler]]-Condensate[[#This Row],[Soft Mark Up]]</f>
        <v>79</v>
      </c>
      <c r="E66" s="3">
        <f t="shared" si="0"/>
        <v>0.8</v>
      </c>
      <c r="F66" s="3">
        <f>IFERROR(Condensate[[#This Row],[น้ำ CONDENSATE กลับ]]/Condensate[[#This Row],[รวมยอดใช้สตีม]],0)</f>
        <v>0.74881516587681862</v>
      </c>
      <c r="G66" s="4">
        <f>(Condensate[[#This Row],[%  condensate ]]-Condensate[[#This Row],[Target]])/80*100</f>
        <v>-6.3981042653976777E-2</v>
      </c>
      <c r="H66" s="5">
        <f>IFERROR(Condensate[[#This Row],[ยอดการใช้ Steam BHS]]*Condensate[[#This Row],[น้ำ CONDENSATE กลับ]]/Condensate[[#This Row],[มิเตอร์น้ำ Boiler]],0)</f>
        <v>33.717525773191134</v>
      </c>
      <c r="I66" s="3">
        <f>IFERROR(Condensate[[#This Row],[CON Return bhs]]/Condensate[[#This Row],[ยอดการใช้ Steam BHS]],0)</f>
        <v>0.81443298969072164</v>
      </c>
      <c r="J66" s="6">
        <f>IFERROR(Condensate[[#This Row],[ยอดการใช้ Steam YUELI]]*Condensate[[#This Row],[น้ำ CONDENSATE กลับ]]/Condensate[[#This Row],[มิเตอร์น้ำ Boiler]],0)</f>
        <v>52.205154639175255</v>
      </c>
      <c r="K66" s="3">
        <f>IFERROR(Condensate[[#This Row],[CON Return yueli]]/Condensate[[#This Row],[ยอดการใช้ Steam YUELI]],0)</f>
        <v>0.81443298969072164</v>
      </c>
      <c r="L66" s="1">
        <f>'[7]ข้อมูลตัด ถ่านหิน'!C9</f>
        <v>41.399999999994179</v>
      </c>
      <c r="M66" s="1">
        <f>'[7]ข้อมูลตัด ถ่านหิน'!D9</f>
        <v>64.099999999999994</v>
      </c>
      <c r="N66" s="3">
        <f>IFERROR(Condensate[[#This Row],[ยอดการใช้ Steam BHS]]*100/Condensate[[#This Row],[รวมยอดใช้สตีม]]/100,0)</f>
        <v>0.39241706161134088</v>
      </c>
      <c r="O66" s="3">
        <f>IFERROR(Condensate[[#This Row],[ยอดการใช้ Steam YUELI]]*100/Condensate[[#This Row],[รวมยอดใช้สตีม]]/100,0)</f>
        <v>0.60758293838865907</v>
      </c>
      <c r="P66" s="1">
        <f>SUM(Condensate[[#This Row],[ยอดการใช้ Steam BHS]:[ยอดการใช้ Steam YUELI]])</f>
        <v>105.49999999999417</v>
      </c>
    </row>
    <row r="67" spans="1:16">
      <c r="A67" s="2">
        <v>45966</v>
      </c>
      <c r="B67" s="1">
        <f>VLOOKUP(Condensate[[#This Row],[วันที่]],'[6]TABLE DATA'!$V:$W,2,0)</f>
        <v>18</v>
      </c>
      <c r="C67" s="1">
        <f>[7]มิเตอร์น้ำ!BD7</f>
        <v>84</v>
      </c>
      <c r="D67" s="1">
        <f>Condensate[[#This Row],[มิเตอร์น้ำ Boiler]]-Condensate[[#This Row],[Soft Mark Up]]</f>
        <v>66</v>
      </c>
      <c r="E67" s="3">
        <f t="shared" si="0"/>
        <v>0.8</v>
      </c>
      <c r="F67" s="3">
        <f>IFERROR(Condensate[[#This Row],[น้ำ CONDENSATE กลับ]]/Condensate[[#This Row],[รวมยอดใช้สตีม]],0)</f>
        <v>0.7904191616767845</v>
      </c>
      <c r="G67" s="4">
        <f>(Condensate[[#This Row],[%  condensate ]]-Condensate[[#This Row],[Target]])/80*100</f>
        <v>-1.1976047904019432E-2</v>
      </c>
      <c r="H67" s="5">
        <f>IFERROR(Condensate[[#This Row],[ยอดการใช้ Steam BHS]]*Condensate[[#This Row],[น้ำ CONDENSATE กลับ]]/Condensate[[#This Row],[มิเตอร์น้ำ Boiler]],0)</f>
        <v>32.371428571414853</v>
      </c>
      <c r="I67" s="3">
        <f>IFERROR(Condensate[[#This Row],[CON Return bhs]]/Condensate[[#This Row],[ยอดการใช้ Steam BHS]],0)</f>
        <v>0.78571428571428581</v>
      </c>
      <c r="J67" s="6">
        <f>IFERROR(Condensate[[#This Row],[ยอดการใช้ Steam YUELI]]*Condensate[[#This Row],[น้ำ CONDENSATE กลับ]]/Condensate[[#This Row],[มิเตอร์น้ำ Boiler]],0)</f>
        <v>33.235714285716575</v>
      </c>
      <c r="K67" s="3">
        <f>IFERROR(Condensate[[#This Row],[CON Return yueli]]/Condensate[[#This Row],[ยอดการใช้ Steam YUELI]],0)</f>
        <v>0.78571428571428581</v>
      </c>
      <c r="L67" s="1">
        <f>'[7]ข้อมูลตัด ถ่านหิน'!C10</f>
        <v>41.199999999982538</v>
      </c>
      <c r="M67" s="1">
        <f>'[7]ข้อมูลตัด ถ่านหิน'!D10</f>
        <v>42.30000000000291</v>
      </c>
      <c r="N67" s="3">
        <f>IFERROR(Condensate[[#This Row],[ยอดการใช้ Steam BHS]]*100/Condensate[[#This Row],[รวมยอดใช้สตีม]]/100,0)</f>
        <v>0.49341317365257148</v>
      </c>
      <c r="O67" s="3">
        <f>IFERROR(Condensate[[#This Row],[ยอดการใช้ Steam YUELI]]*100/Condensate[[#This Row],[รวมยอดใช้สตีม]]/100,0)</f>
        <v>0.50658682634742858</v>
      </c>
      <c r="P67" s="1">
        <f>SUM(Condensate[[#This Row],[ยอดการใช้ Steam BHS]:[ยอดการใช้ Steam YUELI]])</f>
        <v>83.499999999985448</v>
      </c>
    </row>
    <row r="68" spans="1:16">
      <c r="A68" s="2">
        <v>45967</v>
      </c>
      <c r="B68" s="1">
        <f>VLOOKUP(Condensate[[#This Row],[วันที่]],'[6]TABLE DATA'!$V:$W,2,0)</f>
        <v>17</v>
      </c>
      <c r="C68" s="1">
        <f>[7]มิเตอร์น้ำ!BD8</f>
        <v>85</v>
      </c>
      <c r="D68" s="1">
        <f>Condensate[[#This Row],[มิเตอร์น้ำ Boiler]]-Condensate[[#This Row],[Soft Mark Up]]</f>
        <v>68</v>
      </c>
      <c r="E68" s="3">
        <f t="shared" ref="E68:E101" si="1">E67</f>
        <v>0.8</v>
      </c>
      <c r="F68" s="3">
        <f>IFERROR(Condensate[[#This Row],[น้ำ CONDENSATE กลับ]]/Condensate[[#This Row],[รวมยอดใช้สตีม]],0)</f>
        <v>0.794392523364432</v>
      </c>
      <c r="G68" s="4">
        <f>(Condensate[[#This Row],[%  condensate ]]-Condensate[[#This Row],[Target]])/80*100</f>
        <v>-7.0093457944600526E-3</v>
      </c>
      <c r="H68" s="5">
        <f>IFERROR(Condensate[[#This Row],[ยอดการใช้ Steam BHS]]*Condensate[[#This Row],[น้ำ CONDENSATE กลับ]]/Condensate[[#This Row],[มิเตอร์น้ำ Boiler]],0)</f>
        <v>23.280000000004655</v>
      </c>
      <c r="I68" s="3">
        <f>IFERROR(Condensate[[#This Row],[CON Return bhs]]/Condensate[[#This Row],[ยอดการใช้ Steam BHS]],0)</f>
        <v>0.79999999999999993</v>
      </c>
      <c r="J68" s="6">
        <f>IFERROR(Condensate[[#This Row],[ยอดการใช้ Steam YUELI]]*Condensate[[#This Row],[น้ำ CONDENSATE กลับ]]/Condensate[[#This Row],[มิเตอร์น้ำ Boiler]],0)</f>
        <v>45.2</v>
      </c>
      <c r="K68" s="3">
        <f>IFERROR(Condensate[[#This Row],[CON Return yueli]]/Condensate[[#This Row],[ยอดการใช้ Steam YUELI]],0)</f>
        <v>0.8</v>
      </c>
      <c r="L68" s="1">
        <f>'[7]ข้อมูลตัด ถ่านหิน'!C11</f>
        <v>29.100000000005821</v>
      </c>
      <c r="M68" s="1">
        <f>'[7]ข้อมูลตัด ถ่านหิน'!D11</f>
        <v>56.5</v>
      </c>
      <c r="N68" s="3">
        <f>IFERROR(Condensate[[#This Row],[ยอดการใช้ Steam BHS]]*100/Condensate[[#This Row],[รวมยอดใช้สตีม]]/100,0)</f>
        <v>0.33995327102808226</v>
      </c>
      <c r="O68" s="3">
        <f>IFERROR(Condensate[[#This Row],[ยอดการใช้ Steam YUELI]]*100/Condensate[[#This Row],[รวมยอดใช้สตีม]]/100,0)</f>
        <v>0.66004672897191763</v>
      </c>
      <c r="P68" s="1">
        <f>SUM(Condensate[[#This Row],[ยอดการใช้ Steam BHS]:[ยอดการใช้ Steam YUELI]])</f>
        <v>85.600000000005821</v>
      </c>
    </row>
    <row r="69" spans="1:16">
      <c r="A69" s="2">
        <v>45968</v>
      </c>
      <c r="B69" s="1">
        <f>VLOOKUP(Condensate[[#This Row],[วันที่]],'[6]TABLE DATA'!$V:$W,2,0)</f>
        <v>16</v>
      </c>
      <c r="C69" s="1">
        <f>[7]มิเตอร์น้ำ!BD9</f>
        <v>88</v>
      </c>
      <c r="D69" s="1">
        <f>Condensate[[#This Row],[มิเตอร์น้ำ Boiler]]-Condensate[[#This Row],[Soft Mark Up]]</f>
        <v>72</v>
      </c>
      <c r="E69" s="3">
        <f t="shared" si="1"/>
        <v>0.8</v>
      </c>
      <c r="F69" s="3">
        <f>IFERROR(Condensate[[#This Row],[น้ำ CONDENSATE กลับ]]/Condensate[[#This Row],[รวมยอดใช้สตีม]],0)</f>
        <v>0.83623693379778219</v>
      </c>
      <c r="G69" s="4">
        <f>(Condensate[[#This Row],[%  condensate ]]-Condensate[[#This Row],[Target]])/80*100</f>
        <v>4.5296167247227681E-2</v>
      </c>
      <c r="H69" s="5">
        <f>IFERROR(Condensate[[#This Row],[ยอดการใช้ Steam BHS]]*Condensate[[#This Row],[น้ำ CONDENSATE กลับ]]/Condensate[[#This Row],[มิเตอร์น้ำ Boiler]],0)</f>
        <v>31.336363636377925</v>
      </c>
      <c r="I69" s="3">
        <f>IFERROR(Condensate[[#This Row],[CON Return bhs]]/Condensate[[#This Row],[ยอดการใช้ Steam BHS]],0)</f>
        <v>0.81818181818181823</v>
      </c>
      <c r="J69" s="6">
        <f>IFERROR(Condensate[[#This Row],[ยอดการใช้ Steam YUELI]]*Condensate[[#This Row],[น้ำ CONDENSATE กลับ]]/Condensate[[#This Row],[มิเตอร์น้ำ Boiler]],0)</f>
        <v>39.109090909087335</v>
      </c>
      <c r="K69" s="3">
        <f>IFERROR(Condensate[[#This Row],[CON Return yueli]]/Condensate[[#This Row],[ยอดการใช้ Steam YUELI]],0)</f>
        <v>0.81818181818181812</v>
      </c>
      <c r="L69" s="1">
        <f>'[7]ข้อมูลตัด ถ่านหิน'!C12</f>
        <v>38.300000000017462</v>
      </c>
      <c r="M69" s="1">
        <f>'[7]ข้อมูลตัด ถ่านหิน'!D12</f>
        <v>47.799999999995634</v>
      </c>
      <c r="N69" s="3">
        <f>IFERROR(Condensate[[#This Row],[ยอดการใช้ Steam BHS]]*100/Condensate[[#This Row],[รวมยอดใช้สตีม]]/100,0)</f>
        <v>0.44483159117318977</v>
      </c>
      <c r="O69" s="3">
        <f>IFERROR(Condensate[[#This Row],[ยอดการใช้ Steam YUELI]]*100/Condensate[[#This Row],[รวมยอดใช้สตีม]]/100,0)</f>
        <v>0.55516840882681029</v>
      </c>
      <c r="P69" s="1">
        <f>SUM(Condensate[[#This Row],[ยอดการใช้ Steam BHS]:[ยอดการใช้ Steam YUELI]])</f>
        <v>86.100000000013097</v>
      </c>
    </row>
    <row r="70" spans="1:16">
      <c r="A70" s="2">
        <v>45969</v>
      </c>
      <c r="B70" s="1">
        <f>VLOOKUP(Condensate[[#This Row],[วันที่]],'[6]TABLE DATA'!$V:$W,2,0)</f>
        <v>18</v>
      </c>
      <c r="C70" s="1">
        <f>[7]มิเตอร์น้ำ!BD10</f>
        <v>93</v>
      </c>
      <c r="D70" s="1">
        <f>Condensate[[#This Row],[มิเตอร์น้ำ Boiler]]-Condensate[[#This Row],[Soft Mark Up]]</f>
        <v>75</v>
      </c>
      <c r="E70" s="3">
        <f t="shared" si="1"/>
        <v>0.8</v>
      </c>
      <c r="F70" s="3">
        <f>IFERROR(Condensate[[#This Row],[น้ำ CONDENSATE กลับ]]/Condensate[[#This Row],[รวมยอดใช้สตีม]],0)</f>
        <v>0.85714285714299965</v>
      </c>
      <c r="G70" s="4">
        <f>(Condensate[[#This Row],[%  condensate ]]-Condensate[[#This Row],[Target]])/80*100</f>
        <v>7.1428571428749504E-2</v>
      </c>
      <c r="H70" s="5">
        <f>IFERROR(Condensate[[#This Row],[ยอดการใช้ Steam BHS]]*Condensate[[#This Row],[น้ำ CONDENSATE กลับ]]/Condensate[[#This Row],[มิเตอร์น้ำ Boiler]],0)</f>
        <v>32.822580645147205</v>
      </c>
      <c r="I70" s="3">
        <f>IFERROR(Condensate[[#This Row],[CON Return bhs]]/Condensate[[#This Row],[ยอดการใช้ Steam BHS]],0)</f>
        <v>0.80645161290322576</v>
      </c>
      <c r="J70" s="6">
        <f>IFERROR(Condensate[[#This Row],[ยอดการใช้ Steam YUELI]]*Condensate[[#This Row],[น้ำ CONDENSATE กลับ]]/Condensate[[#This Row],[มิเตอร์น้ำ Boiler]],0)</f>
        <v>37.741935483873313</v>
      </c>
      <c r="K70" s="3">
        <f>IFERROR(Condensate[[#This Row],[CON Return yueli]]/Condensate[[#This Row],[ยอดการใช้ Steam YUELI]],0)</f>
        <v>0.80645161290322576</v>
      </c>
      <c r="L70" s="1">
        <f>'[7]ข้อมูลตัด ถ่านหิน'!C13</f>
        <v>40.699999999982538</v>
      </c>
      <c r="M70" s="1">
        <f>'[7]ข้อมูลตัด ถ่านหิน'!D13</f>
        <v>46.80000000000291</v>
      </c>
      <c r="N70" s="3">
        <f>IFERROR(Condensate[[#This Row],[ยอดการใช้ Steam BHS]]*100/Condensate[[#This Row],[รวมยอดใช้สตีม]]/100,0)</f>
        <v>0.4651428571427349</v>
      </c>
      <c r="O70" s="3">
        <f>IFERROR(Condensate[[#This Row],[ยอดการใช้ Steam YUELI]]*100/Condensate[[#This Row],[รวมยอดใช้สตีม]]/100,0)</f>
        <v>0.53485714285726504</v>
      </c>
      <c r="P70" s="1">
        <f>SUM(Condensate[[#This Row],[ยอดการใช้ Steam BHS]:[ยอดการใช้ Steam YUELI]])</f>
        <v>87.499999999985448</v>
      </c>
    </row>
    <row r="71" spans="1:16">
      <c r="A71" s="2">
        <v>45970</v>
      </c>
      <c r="B71" s="1">
        <f>VLOOKUP(Condensate[[#This Row],[วันที่]],'[6]TABLE DATA'!$V:$W,2,0)</f>
        <v>8</v>
      </c>
      <c r="C71" s="1">
        <f>[7]มิเตอร์น้ำ!BD11</f>
        <v>54</v>
      </c>
      <c r="D71" s="1">
        <f>Condensate[[#This Row],[มิเตอร์น้ำ Boiler]]-Condensate[[#This Row],[Soft Mark Up]]</f>
        <v>46</v>
      </c>
      <c r="E71" s="3">
        <f t="shared" si="1"/>
        <v>0.8</v>
      </c>
      <c r="F71" s="3">
        <f>IFERROR(Condensate[[#This Row],[น้ำ CONDENSATE กลับ]]/Condensate[[#This Row],[รวมยอดใช้สตีม]],0)</f>
        <v>0.94845360824713809</v>
      </c>
      <c r="G71" s="4">
        <f>(Condensate[[#This Row],[%  condensate ]]-Condensate[[#This Row],[Target]])/80*100</f>
        <v>0.18556701030892256</v>
      </c>
      <c r="H71" s="5">
        <f>IFERROR(Condensate[[#This Row],[ยอดการใช้ Steam BHS]]*Condensate[[#This Row],[น้ำ CONDENSATE กลับ]]/Condensate[[#This Row],[มิเตอร์น้ำ Boiler]],0)</f>
        <v>18.144444444459321</v>
      </c>
      <c r="I71" s="3">
        <f>IFERROR(Condensate[[#This Row],[CON Return bhs]]/Condensate[[#This Row],[ยอดการใช้ Steam BHS]],0)</f>
        <v>0.85185185185185186</v>
      </c>
      <c r="J71" s="6">
        <f>IFERROR(Condensate[[#This Row],[ยอดการใช้ Steam YUELI]]*Condensate[[#This Row],[น้ำ CONDENSATE กลับ]]/Condensate[[#This Row],[มิเตอร์น้ำ Boiler]],0)</f>
        <v>23.170370370367891</v>
      </c>
      <c r="K71" s="3">
        <f>IFERROR(Condensate[[#This Row],[CON Return yueli]]/Condensate[[#This Row],[ยอดการใช้ Steam YUELI]],0)</f>
        <v>0.85185185185185186</v>
      </c>
      <c r="L71" s="1">
        <f>'[7]ข้อมูลตัด ถ่านหิน'!C14</f>
        <v>21.300000000017462</v>
      </c>
      <c r="M71" s="1">
        <f>'[7]ข้อมูลตัด ถ่านหิน'!D14</f>
        <v>27.19999999999709</v>
      </c>
      <c r="N71" s="3">
        <f>IFERROR(Condensate[[#This Row],[ยอดการใช้ Steam BHS]]*100/Condensate[[#This Row],[รวมยอดใช้สตีม]]/100,0)</f>
        <v>0.43917525773218707</v>
      </c>
      <c r="O71" s="3">
        <f>IFERROR(Condensate[[#This Row],[ยอดการใช้ Steam YUELI]]*100/Condensate[[#This Row],[รวมยอดใช้สตีม]]/100,0)</f>
        <v>0.56082474226781298</v>
      </c>
      <c r="P71" s="1">
        <f>SUM(Condensate[[#This Row],[ยอดการใช้ Steam BHS]:[ยอดการใช้ Steam YUELI]])</f>
        <v>48.500000000014552</v>
      </c>
    </row>
    <row r="72" spans="1:16">
      <c r="A72" s="2">
        <v>45971</v>
      </c>
      <c r="B72" s="1">
        <f>VLOOKUP(Condensate[[#This Row],[วันที่]],'[6]TABLE DATA'!$V:$W,2,0)</f>
        <v>16</v>
      </c>
      <c r="C72" s="1">
        <f>[7]มิเตอร์น้ำ!BD12</f>
        <v>99</v>
      </c>
      <c r="D72" s="1">
        <f>Condensate[[#This Row],[มิเตอร์น้ำ Boiler]]-Condensate[[#This Row],[Soft Mark Up]]</f>
        <v>83</v>
      </c>
      <c r="E72" s="3">
        <f t="shared" si="1"/>
        <v>0.8</v>
      </c>
      <c r="F72" s="3">
        <f>IFERROR(Condensate[[#This Row],[น้ำ CONDENSATE กลับ]]/Condensate[[#This Row],[รวมยอดใช้สตีม]],0)</f>
        <v>0.84607543323144674</v>
      </c>
      <c r="G72" s="4">
        <f>(Condensate[[#This Row],[%  condensate ]]-Condensate[[#This Row],[Target]])/80*100</f>
        <v>5.7594291539308368E-2</v>
      </c>
      <c r="H72" s="5">
        <f>IFERROR(Condensate[[#This Row],[ยอดการใช้ Steam BHS]]*Condensate[[#This Row],[น้ำ CONDENSATE กลับ]]/Condensate[[#This Row],[มิเตอร์น้ำ Boiler]],0)</f>
        <v>34.709090909086029</v>
      </c>
      <c r="I72" s="3">
        <f>IFERROR(Condensate[[#This Row],[CON Return bhs]]/Condensate[[#This Row],[ยอดการใช้ Steam BHS]],0)</f>
        <v>0.83838383838383834</v>
      </c>
      <c r="J72" s="6">
        <f>IFERROR(Condensate[[#This Row],[ยอดการใช้ Steam YUELI]]*Condensate[[#This Row],[น้ำ CONDENSATE กลับ]]/Condensate[[#This Row],[มิเตอร์น้ำ Boiler]],0)</f>
        <v>47.536363636363639</v>
      </c>
      <c r="K72" s="3">
        <f>IFERROR(Condensate[[#This Row],[CON Return yueli]]/Condensate[[#This Row],[ยอดการใช้ Steam YUELI]],0)</f>
        <v>0.83838383838383834</v>
      </c>
      <c r="L72" s="1">
        <f>'[7]ข้อมูลตัด ถ่านหิน'!C15</f>
        <v>41.399999999994179</v>
      </c>
      <c r="M72" s="1">
        <f>'[7]ข้อมูลตัด ถ่านหิน'!D15</f>
        <v>56.7</v>
      </c>
      <c r="N72" s="3">
        <f>IFERROR(Condensate[[#This Row],[ยอดการใช้ Steam BHS]]*100/Condensate[[#This Row],[รวมยอดใช้สตีม]]/100,0)</f>
        <v>0.42201834862381893</v>
      </c>
      <c r="O72" s="3">
        <f>IFERROR(Condensate[[#This Row],[ยอดการใช้ Steam YUELI]]*100/Condensate[[#This Row],[รวมยอดใช้สตีม]]/100,0)</f>
        <v>0.57798165137618107</v>
      </c>
      <c r="P72" s="1">
        <f>SUM(Condensate[[#This Row],[ยอดการใช้ Steam BHS]:[ยอดการใช้ Steam YUELI]])</f>
        <v>98.099999999994182</v>
      </c>
    </row>
    <row r="73" spans="1:16">
      <c r="A73" s="2">
        <v>45972</v>
      </c>
      <c r="B73" s="1">
        <f>VLOOKUP(Condensate[[#This Row],[วันที่]],'[6]TABLE DATA'!$V:$W,2,0)</f>
        <v>23</v>
      </c>
      <c r="C73" s="1">
        <f>[7]มิเตอร์น้ำ!BD13</f>
        <v>87</v>
      </c>
      <c r="D73" s="1">
        <f>Condensate[[#This Row],[มิเตอร์น้ำ Boiler]]-Condensate[[#This Row],[Soft Mark Up]]</f>
        <v>64</v>
      </c>
      <c r="E73" s="3">
        <f t="shared" si="1"/>
        <v>0.8</v>
      </c>
      <c r="F73" s="3">
        <f>IFERROR(Condensate[[#This Row],[น้ำ CONDENSATE กลับ]]/Condensate[[#This Row],[รวมยอดใช้สตีม]],0)</f>
        <v>0.74853801169609757</v>
      </c>
      <c r="G73" s="4">
        <f>(Condensate[[#This Row],[%  condensate ]]-Condensate[[#This Row],[Target]])/80*100</f>
        <v>-6.4327485379878091E-2</v>
      </c>
      <c r="H73" s="5">
        <f>IFERROR(Condensate[[#This Row],[ยอดการใช้ Steam BHS]]*Condensate[[#This Row],[น้ำ CONDENSATE กลับ]]/Condensate[[#This Row],[มิเตอร์น้ำ Boiler]],0)</f>
        <v>30.308045976998649</v>
      </c>
      <c r="I73" s="3">
        <f>IFERROR(Condensate[[#This Row],[CON Return bhs]]/Condensate[[#This Row],[ยอดการใช้ Steam BHS]],0)</f>
        <v>0.73563218390804597</v>
      </c>
      <c r="J73" s="6">
        <f>IFERROR(Condensate[[#This Row],[ยอดการใช้ Steam YUELI]]*Condensate[[#This Row],[น้ำ CONDENSATE กลับ]]/Condensate[[#This Row],[มิเตอร์น้ำ Boiler]],0)</f>
        <v>32.588505747123229</v>
      </c>
      <c r="K73" s="3">
        <f>IFERROR(Condensate[[#This Row],[CON Return yueli]]/Condensate[[#This Row],[ยอดการใช้ Steam YUELI]],0)</f>
        <v>0.73563218390804608</v>
      </c>
      <c r="L73" s="1">
        <f>'[7]ข้อมูลตัด ถ่านหิน'!C16</f>
        <v>41.199999999982538</v>
      </c>
      <c r="M73" s="1">
        <f>'[7]ข้อมูลตัด ถ่านหิน'!D16</f>
        <v>44.299999999995634</v>
      </c>
      <c r="N73" s="3">
        <f>IFERROR(Condensate[[#This Row],[ยอดการใช้ Steam BHS]]*100/Condensate[[#This Row],[รวมยอดใช้สตีม]]/100,0)</f>
        <v>0.48187134502915852</v>
      </c>
      <c r="O73" s="3">
        <f>IFERROR(Condensate[[#This Row],[ยอดการใช้ Steam YUELI]]*100/Condensate[[#This Row],[รวมยอดใช้สตีม]]/100,0)</f>
        <v>0.51812865497084148</v>
      </c>
      <c r="P73" s="1">
        <f>SUM(Condensate[[#This Row],[ยอดการใช้ Steam BHS]:[ยอดการใช้ Steam YUELI]])</f>
        <v>85.499999999978172</v>
      </c>
    </row>
    <row r="74" spans="1:16">
      <c r="A74" s="2">
        <v>45973</v>
      </c>
      <c r="B74" s="1">
        <f>VLOOKUP(Condensate[[#This Row],[วันที่]],'[6]TABLE DATA'!$V:$W,2,0)</f>
        <v>19</v>
      </c>
      <c r="C74" s="1">
        <f>[7]มิเตอร์น้ำ!BD14</f>
        <v>85</v>
      </c>
      <c r="D74" s="1">
        <f>Condensate[[#This Row],[มิเตอร์น้ำ Boiler]]-Condensate[[#This Row],[Soft Mark Up]]</f>
        <v>66</v>
      </c>
      <c r="E74" s="3">
        <f t="shared" si="1"/>
        <v>0.8</v>
      </c>
      <c r="F74" s="3">
        <f>IFERROR(Condensate[[#This Row],[น้ำ CONDENSATE กลับ]]/Condensate[[#This Row],[รวมยอดใช้สตีม]],0)</f>
        <v>0.76124567474044613</v>
      </c>
      <c r="G74" s="4">
        <f>(Condensate[[#This Row],[%  condensate ]]-Condensate[[#This Row],[Target]])/80*100</f>
        <v>-4.844290657444239E-2</v>
      </c>
      <c r="H74" s="5">
        <f>IFERROR(Condensate[[#This Row],[ยอดการใช้ Steam BHS]]*Condensate[[#This Row],[น้ำ CONDENSATE กลับ]]/Condensate[[#This Row],[มิเตอร์น้ำ Boiler]],0)</f>
        <v>31.058823529411764</v>
      </c>
      <c r="I74" s="3">
        <f>IFERROR(Condensate[[#This Row],[CON Return bhs]]/Condensate[[#This Row],[ยอดการใช้ Steam BHS]],0)</f>
        <v>0.77647058823529413</v>
      </c>
      <c r="J74" s="6">
        <f>IFERROR(Condensate[[#This Row],[ยอดการใช้ Steam YUELI]]*Condensate[[#This Row],[น้ำ CONDENSATE กลับ]]/Condensate[[#This Row],[มิเตอร์น้ำ Boiler]],0)</f>
        <v>36.261176470591622</v>
      </c>
      <c r="K74" s="3">
        <f>IFERROR(Condensate[[#This Row],[CON Return yueli]]/Condensate[[#This Row],[ยอดการใช้ Steam YUELI]],0)</f>
        <v>0.77647058823529402</v>
      </c>
      <c r="L74" s="1">
        <f>'[7]ข้อมูลตัด ถ่านหิน'!C17</f>
        <v>40</v>
      </c>
      <c r="M74" s="1">
        <f>'[7]ข้อมูลตัด ถ่านหิน'!D17</f>
        <v>46.700000000004366</v>
      </c>
      <c r="N74" s="3">
        <f>IFERROR(Condensate[[#This Row],[ยอดการใช้ Steam BHS]]*100/Condensate[[#This Row],[รวมยอดใช้สตีม]]/100,0)</f>
        <v>0.46136101499420973</v>
      </c>
      <c r="O74" s="3">
        <f>IFERROR(Condensate[[#This Row],[ยอดการใช้ Steam YUELI]]*100/Condensate[[#This Row],[รวมยอดใช้สตีม]]/100,0)</f>
        <v>0.53863898500579022</v>
      </c>
      <c r="P74" s="1">
        <f>SUM(Condensate[[#This Row],[ยอดการใช้ Steam BHS]:[ยอดการใช้ Steam YUELI]])</f>
        <v>86.700000000004366</v>
      </c>
    </row>
    <row r="75" spans="1:16">
      <c r="A75" s="2">
        <v>45974</v>
      </c>
      <c r="B75" s="1">
        <f>VLOOKUP(Condensate[[#This Row],[วันที่]],'[6]TABLE DATA'!$V:$W,2,0)</f>
        <v>16</v>
      </c>
      <c r="C75" s="1">
        <f>[7]มิเตอร์น้ำ!BD15</f>
        <v>98</v>
      </c>
      <c r="D75" s="1">
        <f>Condensate[[#This Row],[มิเตอร์น้ำ Boiler]]-Condensate[[#This Row],[Soft Mark Up]]</f>
        <v>82</v>
      </c>
      <c r="E75" s="3">
        <f t="shared" si="1"/>
        <v>0.8</v>
      </c>
      <c r="F75" s="3">
        <f>IFERROR(Condensate[[#This Row],[น้ำ CONDENSATE กลับ]]/Condensate[[#This Row],[รวมยอดใช้สตีม]],0)</f>
        <v>0.82412060301493073</v>
      </c>
      <c r="G75" s="4">
        <f>(Condensate[[#This Row],[%  condensate ]]-Condensate[[#This Row],[Target]])/80*100</f>
        <v>3.0150753768663358E-2</v>
      </c>
      <c r="H75" s="5">
        <f>IFERROR(Condensate[[#This Row],[ยอดการใช้ Steam BHS]]*Condensate[[#This Row],[น้ำ CONDENSATE กลับ]]/Condensate[[#This Row],[มิเตอร์น้ำ Boiler]],0)</f>
        <v>35.812244897973798</v>
      </c>
      <c r="I75" s="3">
        <f>IFERROR(Condensate[[#This Row],[CON Return bhs]]/Condensate[[#This Row],[ยอดการใช้ Steam BHS]],0)</f>
        <v>0.83673469387755106</v>
      </c>
      <c r="J75" s="6">
        <f>IFERROR(Condensate[[#This Row],[ยอดการใช้ Steam YUELI]]*Condensate[[#This Row],[น้ำ CONDENSATE กลับ]]/Condensate[[#This Row],[มิเตอร์น้ำ Boiler]],0)</f>
        <v>47.44285714285715</v>
      </c>
      <c r="K75" s="3">
        <f>IFERROR(Condensate[[#This Row],[CON Return yueli]]/Condensate[[#This Row],[ยอดการใช้ Steam YUELI]],0)</f>
        <v>0.83673469387755106</v>
      </c>
      <c r="L75" s="1">
        <f>'[7]ข้อมูลตัด ถ่านหิน'!C18</f>
        <v>42.800000000017462</v>
      </c>
      <c r="M75" s="1">
        <f>'[7]ข้อมูลตัด ถ่านหิน'!D18</f>
        <v>56.7</v>
      </c>
      <c r="N75" s="3">
        <f>IFERROR(Condensate[[#This Row],[ยอดการใช้ Steam BHS]]*100/Condensate[[#This Row],[รวมยอดใช้สตีม]]/100,0)</f>
        <v>0.43015075376894424</v>
      </c>
      <c r="O75" s="3">
        <f>IFERROR(Condensate[[#This Row],[ยอดการใช้ Steam YUELI]]*100/Condensate[[#This Row],[รวมยอดใช้สตีม]]/100,0)</f>
        <v>0.56984924623105582</v>
      </c>
      <c r="P75" s="1">
        <f>SUM(Condensate[[#This Row],[ยอดการใช้ Steam BHS]:[ยอดการใช้ Steam YUELI]])</f>
        <v>99.500000000017465</v>
      </c>
    </row>
    <row r="76" spans="1:16">
      <c r="A76" s="2">
        <v>45975</v>
      </c>
      <c r="B76" s="1">
        <f>VLOOKUP(Condensate[[#This Row],[วันที่]],'[6]TABLE DATA'!$V:$W,2,0)</f>
        <v>17</v>
      </c>
      <c r="C76" s="1">
        <f>[7]มิเตอร์น้ำ!BD16</f>
        <v>102</v>
      </c>
      <c r="D76" s="1">
        <f>Condensate[[#This Row],[มิเตอร์น้ำ Boiler]]-Condensate[[#This Row],[Soft Mark Up]]</f>
        <v>85</v>
      </c>
      <c r="E76" s="3">
        <f t="shared" si="1"/>
        <v>0.8</v>
      </c>
      <c r="F76" s="3">
        <f>IFERROR(Condensate[[#This Row],[น้ำ CONDENSATE กลับ]]/Condensate[[#This Row],[รวมยอดใช้สตีม]],0)</f>
        <v>0.97254004576657416</v>
      </c>
      <c r="G76" s="4">
        <f>(Condensate[[#This Row],[%  condensate ]]-Condensate[[#This Row],[Target]])/80*100</f>
        <v>0.21567505720821767</v>
      </c>
      <c r="H76" s="5">
        <f>IFERROR(Condensate[[#This Row],[ยอดการใช้ Steam BHS]]*Condensate[[#This Row],[น้ำ CONDENSATE กลับ]]/Condensate[[#This Row],[มิเตอร์น้ำ Boiler]],0)</f>
        <v>36.333333333338182</v>
      </c>
      <c r="I76" s="3">
        <f>IFERROR(Condensate[[#This Row],[CON Return bhs]]/Condensate[[#This Row],[ยอดการใช้ Steam BHS]],0)</f>
        <v>0.83333333333333326</v>
      </c>
      <c r="J76" s="6">
        <f>IFERROR(Condensate[[#This Row],[ยอดการใช้ Steam YUELI]]*Condensate[[#This Row],[น้ำ CONDENSATE กลับ]]/Condensate[[#This Row],[มิเตอร์น้ำ Boiler]],0)</f>
        <v>36.499999999996362</v>
      </c>
      <c r="K76" s="3">
        <f>IFERROR(Condensate[[#This Row],[CON Return yueli]]/Condensate[[#This Row],[ยอดการใช้ Steam YUELI]],0)</f>
        <v>0.83333333333333337</v>
      </c>
      <c r="L76" s="1">
        <f>'[7]ข้อมูลตัด ถ่านหิน'!C19</f>
        <v>43.600000000005821</v>
      </c>
      <c r="M76" s="1">
        <f>'[7]ข้อมูลตัด ถ่านหิน'!D19</f>
        <v>43.799999999995634</v>
      </c>
      <c r="N76" s="3">
        <f>IFERROR(Condensate[[#This Row],[ยอดการใช้ Steam BHS]]*100/Condensate[[#This Row],[รวมยอดใช้สตีม]]/100,0)</f>
        <v>0.49885583524033289</v>
      </c>
      <c r="O76" s="3">
        <f>IFERROR(Condensate[[#This Row],[ยอดการใช้ Steam YUELI]]*100/Condensate[[#This Row],[รวมยอดใช้สตีม]]/100,0)</f>
        <v>0.50114416475966717</v>
      </c>
      <c r="P76" s="1">
        <f>SUM(Condensate[[#This Row],[ยอดการใช้ Steam BHS]:[ยอดการใช้ Steam YUELI]])</f>
        <v>87.400000000001455</v>
      </c>
    </row>
    <row r="77" spans="1:16">
      <c r="A77" s="2">
        <v>45976</v>
      </c>
      <c r="B77" s="1">
        <f>VLOOKUP(Condensate[[#This Row],[วันที่]],'[6]TABLE DATA'!$V:$W,2,0)</f>
        <v>17</v>
      </c>
      <c r="C77" s="1">
        <f>[7]มิเตอร์น้ำ!BD17</f>
        <v>90</v>
      </c>
      <c r="D77" s="1">
        <f>Condensate[[#This Row],[มิเตอร์น้ำ Boiler]]-Condensate[[#This Row],[Soft Mark Up]]</f>
        <v>73</v>
      </c>
      <c r="E77" s="3">
        <f t="shared" si="1"/>
        <v>0.8</v>
      </c>
      <c r="F77" s="3">
        <f>IFERROR(Condensate[[#This Row],[น้ำ CONDENSATE กลับ]]/Condensate[[#This Row],[รวมยอดใช้สตีม]],0)</f>
        <v>0.82766439909299783</v>
      </c>
      <c r="G77" s="4">
        <f>(Condensate[[#This Row],[%  condensate ]]-Condensate[[#This Row],[Target]])/80*100</f>
        <v>3.4580498866247228E-2</v>
      </c>
      <c r="H77" s="5">
        <f>IFERROR(Condensate[[#This Row],[ยอดการใช้ Steam BHS]]*Condensate[[#This Row],[น้ำ CONDENSATE กลับ]]/Condensate[[#This Row],[มิเตอร์น้ำ Boiler]],0)</f>
        <v>33.174444444439722</v>
      </c>
      <c r="I77" s="3">
        <f>IFERROR(Condensate[[#This Row],[CON Return bhs]]/Condensate[[#This Row],[ยอดการใช้ Steam BHS]],0)</f>
        <v>0.81111111111111112</v>
      </c>
      <c r="J77" s="6">
        <f>IFERROR(Condensate[[#This Row],[ยอดการใช้ Steam YUELI]]*Condensate[[#This Row],[น้ำ CONDENSATE กลับ]]/Condensate[[#This Row],[มิเตอร์น้ำ Boiler]],0)</f>
        <v>38.365555555557918</v>
      </c>
      <c r="K77" s="3">
        <f>IFERROR(Condensate[[#This Row],[CON Return yueli]]/Condensate[[#This Row],[ยอดการใช้ Steam YUELI]],0)</f>
        <v>0.81111111111111112</v>
      </c>
      <c r="L77" s="1">
        <f>'[7]ข้อมูลตัด ถ่านหิน'!C20</f>
        <v>40.899999999994179</v>
      </c>
      <c r="M77" s="1">
        <f>'[7]ข้อมูลตัด ถ่านหิน'!D20</f>
        <v>47.30000000000291</v>
      </c>
      <c r="N77" s="3">
        <f>IFERROR(Condensate[[#This Row],[ยอดการใช้ Steam BHS]]*100/Condensate[[#This Row],[รวมยอดใช้สตีม]]/100,0)</f>
        <v>0.4637188208616273</v>
      </c>
      <c r="O77" s="3">
        <f>IFERROR(Condensate[[#This Row],[ยอดการใช้ Steam YUELI]]*100/Condensate[[#This Row],[รวมยอดใช้สตีม]]/100,0)</f>
        <v>0.5362811791383727</v>
      </c>
      <c r="P77" s="1">
        <f>SUM(Condensate[[#This Row],[ยอดการใช้ Steam BHS]:[ยอดการใช้ Steam YUELI]])</f>
        <v>88.19999999999709</v>
      </c>
    </row>
    <row r="78" spans="1:16">
      <c r="A78" s="2">
        <v>45977</v>
      </c>
      <c r="B78" s="1">
        <f>VLOOKUP(Condensate[[#This Row],[วันที่]],'[6]TABLE DATA'!$V:$W,2,0)</f>
        <v>16</v>
      </c>
      <c r="C78" s="1">
        <f>[7]มิเตอร์น้ำ!BD18</f>
        <v>59</v>
      </c>
      <c r="D78" s="1">
        <f>Condensate[[#This Row],[มิเตอร์น้ำ Boiler]]-Condensate[[#This Row],[Soft Mark Up]]</f>
        <v>43</v>
      </c>
      <c r="E78" s="3">
        <f t="shared" si="1"/>
        <v>0.8</v>
      </c>
      <c r="F78" s="3">
        <f>IFERROR(Condensate[[#This Row],[น้ำ CONDENSATE กลับ]]/Condensate[[#This Row],[รวมยอดใช้สตีม]],0)</f>
        <v>0.73129251700703801</v>
      </c>
      <c r="G78" s="4">
        <f>(Condensate[[#This Row],[%  condensate ]]-Condensate[[#This Row],[Target]])/80*100</f>
        <v>-8.588435374120254E-2</v>
      </c>
      <c r="H78" s="5">
        <f>IFERROR(Condensate[[#This Row],[ยอดการใช้ Steam BHS]]*Condensate[[#This Row],[น้ำ CONDENSATE กลับ]]/Condensate[[#This Row],[มิเตอร์น้ำ Boiler]],0)</f>
        <v>21.645762711851681</v>
      </c>
      <c r="I78" s="3">
        <f>IFERROR(Condensate[[#This Row],[CON Return bhs]]/Condensate[[#This Row],[ยอดการใช้ Steam BHS]],0)</f>
        <v>0.72881355932203395</v>
      </c>
      <c r="J78" s="6">
        <f>IFERROR(Condensate[[#This Row],[ยอดการใช้ Steam YUELI]]*Condensate[[#This Row],[น้ำ CONDENSATE กลับ]]/Condensate[[#This Row],[มิเตอร์น้ำ Boiler]],0)</f>
        <v>21.208474576270127</v>
      </c>
      <c r="K78" s="3">
        <f>IFERROR(Condensate[[#This Row],[CON Return yueli]]/Condensate[[#This Row],[ยอดการใช้ Steam YUELI]],0)</f>
        <v>0.72881355932203395</v>
      </c>
      <c r="L78" s="1">
        <f>'[7]ข้อมูลตัด ถ่านหิน'!C21</f>
        <v>29.699999999982538</v>
      </c>
      <c r="M78" s="1">
        <f>'[7]ข้อมูลตัด ถ่านหิน'!D21</f>
        <v>29.099999999998545</v>
      </c>
      <c r="N78" s="3">
        <f>IFERROR(Condensate[[#This Row],[ยอดการใช้ Steam BHS]]*100/Condensate[[#This Row],[รวมยอดใช้สตีม]]/100,0)</f>
        <v>0.50510204081619203</v>
      </c>
      <c r="O78" s="3">
        <f>IFERROR(Condensate[[#This Row],[ยอดการใช้ Steam YUELI]]*100/Condensate[[#This Row],[รวมยอดใช้สตีม]]/100,0)</f>
        <v>0.49489795918380791</v>
      </c>
      <c r="P78" s="1">
        <f>SUM(Condensate[[#This Row],[ยอดการใช้ Steam BHS]:[ยอดการใช้ Steam YUELI]])</f>
        <v>58.799999999981083</v>
      </c>
    </row>
    <row r="79" spans="1:16">
      <c r="A79" s="2">
        <v>45978</v>
      </c>
      <c r="B79" s="1">
        <f>VLOOKUP(Condensate[[#This Row],[วันที่]],'[6]TABLE DATA'!$V:$W,2,0)</f>
        <v>7</v>
      </c>
      <c r="C79" s="1">
        <f>[7]มิเตอร์น้ำ!BD19</f>
        <v>67</v>
      </c>
      <c r="D79" s="1">
        <f>Condensate[[#This Row],[มิเตอร์น้ำ Boiler]]-Condensate[[#This Row],[Soft Mark Up]]</f>
        <v>60</v>
      </c>
      <c r="E79" s="3">
        <f t="shared" si="1"/>
        <v>0.8</v>
      </c>
      <c r="F79" s="3">
        <f>IFERROR(Condensate[[#This Row],[น้ำ CONDENSATE กลับ]]/Condensate[[#This Row],[รวมยอดใช้สตีม]],0)</f>
        <v>0.94786729857782859</v>
      </c>
      <c r="G79" s="4">
        <f>(Condensate[[#This Row],[%  condensate ]]-Condensate[[#This Row],[Target]])/80*100</f>
        <v>0.18483412322228568</v>
      </c>
      <c r="H79" s="5">
        <f>IFERROR(Condensate[[#This Row],[ยอดการใช้ Steam BHS]]*Condensate[[#This Row],[น้ำ CONDENSATE กลับ]]/Condensate[[#This Row],[มิเตอร์น้ำ Boiler]],0)</f>
        <v>25.432835820916374</v>
      </c>
      <c r="I79" s="3">
        <f>IFERROR(Condensate[[#This Row],[CON Return bhs]]/Condensate[[#This Row],[ยอดการใช้ Steam BHS]],0)</f>
        <v>0.89552238805970152</v>
      </c>
      <c r="J79" s="6">
        <f>IFERROR(Condensate[[#This Row],[ยอดการใช้ Steam YUELI]]*Condensate[[#This Row],[น้ำ CONDENSATE กลับ]]/Condensate[[#This Row],[มิเตอร์น้ำ Boiler]],0)</f>
        <v>31.253731343284887</v>
      </c>
      <c r="K79" s="3">
        <f>IFERROR(Condensate[[#This Row],[CON Return yueli]]/Condensate[[#This Row],[ยอดการใช้ Steam YUELI]],0)</f>
        <v>0.89552238805970152</v>
      </c>
      <c r="L79" s="1">
        <f>'[7]ข้อมูลตัด ถ่านหิน'!C22</f>
        <v>28.400000000023283</v>
      </c>
      <c r="M79" s="1">
        <f>'[7]ข้อมูลตัด ถ่านหิน'!D22</f>
        <v>34.900000000001455</v>
      </c>
      <c r="N79" s="3">
        <f>IFERROR(Condensate[[#This Row],[ยอดการใช้ Steam BHS]]*100/Condensate[[#This Row],[รวมยอดใช้สตีม]]/100,0)</f>
        <v>0.44865718799387339</v>
      </c>
      <c r="O79" s="3">
        <f>IFERROR(Condensate[[#This Row],[ยอดการใช้ Steam YUELI]]*100/Condensate[[#This Row],[รวมยอดใช้สตีม]]/100,0)</f>
        <v>0.55134281200612667</v>
      </c>
      <c r="P79" s="1">
        <f>SUM(Condensate[[#This Row],[ยอดการใช้ Steam BHS]:[ยอดการใช้ Steam YUELI]])</f>
        <v>63.300000000024738</v>
      </c>
    </row>
    <row r="80" spans="1:16">
      <c r="A80" s="2">
        <v>45979</v>
      </c>
      <c r="B80" s="1">
        <f>VLOOKUP(Condensate[[#This Row],[วันที่]],'[6]TABLE DATA'!$V:$W,2,0)</f>
        <v>20</v>
      </c>
      <c r="C80" s="1">
        <f>[7]มิเตอร์น้ำ!BD20</f>
        <v>96</v>
      </c>
      <c r="D80" s="1">
        <f>Condensate[[#This Row],[มิเตอร์น้ำ Boiler]]-Condensate[[#This Row],[Soft Mark Up]]</f>
        <v>76</v>
      </c>
      <c r="E80" s="3">
        <f t="shared" si="1"/>
        <v>0.8</v>
      </c>
      <c r="F80" s="3">
        <f>IFERROR(Condensate[[#This Row],[น้ำ CONDENSATE กลับ]]/Condensate[[#This Row],[รวมยอดใช้สตีม]],0)</f>
        <v>0.8539325842698724</v>
      </c>
      <c r="G80" s="4">
        <f>(Condensate[[#This Row],[%  condensate ]]-Condensate[[#This Row],[Target]])/80*100</f>
        <v>6.741573033734044E-2</v>
      </c>
      <c r="H80" s="5">
        <f>IFERROR(Condensate[[#This Row],[ยอดการใช้ Steam BHS]]*Condensate[[#This Row],[น้ำ CONDENSATE กลับ]]/Condensate[[#This Row],[มิเตอร์น้ำ Boiler]],0)</f>
        <v>32.141666666648234</v>
      </c>
      <c r="I80" s="3">
        <f>IFERROR(Condensate[[#This Row],[CON Return bhs]]/Condensate[[#This Row],[ยอดการใช้ Steam BHS]],0)</f>
        <v>0.79166666666666663</v>
      </c>
      <c r="J80" s="6">
        <f>IFERROR(Condensate[[#This Row],[ยอดการใช้ Steam YUELI]]*Condensate[[#This Row],[น้ำ CONDENSATE กลับ]]/Condensate[[#This Row],[มิเตอร์น้ำ Boiler]],0)</f>
        <v>38.316666666667821</v>
      </c>
      <c r="K80" s="3">
        <f>IFERROR(Condensate[[#This Row],[CON Return yueli]]/Condensate[[#This Row],[ยอดการใช้ Steam YUELI]],0)</f>
        <v>0.79166666666666674</v>
      </c>
      <c r="L80" s="1">
        <f>'[7]ข้อมูลตัด ถ่านหิน'!C23</f>
        <v>40.599999999976717</v>
      </c>
      <c r="M80" s="1">
        <f>'[7]ข้อมูลตัด ถ่านหิน'!D23</f>
        <v>48.400000000001455</v>
      </c>
      <c r="N80" s="3">
        <f>IFERROR(Condensate[[#This Row],[ยอดการใช้ Steam BHS]]*100/Condensate[[#This Row],[รวมยอดใช้สตีม]]/100,0)</f>
        <v>0.45617977528074916</v>
      </c>
      <c r="O80" s="3">
        <f>IFERROR(Condensate[[#This Row],[ยอดการใช้ Steam YUELI]]*100/Condensate[[#This Row],[รวมยอดใช้สตีม]]/100,0)</f>
        <v>0.54382022471925084</v>
      </c>
      <c r="P80" s="1">
        <f>SUM(Condensate[[#This Row],[ยอดการใช้ Steam BHS]:[ยอดการใช้ Steam YUELI]])</f>
        <v>88.999999999978172</v>
      </c>
    </row>
    <row r="81" spans="1:16">
      <c r="A81" s="2">
        <v>45980</v>
      </c>
      <c r="B81" s="1">
        <f>VLOOKUP(Condensate[[#This Row],[วันที่]],'[6]TABLE DATA'!$V:$W,2,0)</f>
        <v>17</v>
      </c>
      <c r="C81" s="1">
        <f>[7]มิเตอร์น้ำ!BD21</f>
        <v>90</v>
      </c>
      <c r="D81" s="1">
        <f>Condensate[[#This Row],[มิเตอร์น้ำ Boiler]]-Condensate[[#This Row],[Soft Mark Up]]</f>
        <v>73</v>
      </c>
      <c r="E81" s="3">
        <f t="shared" si="1"/>
        <v>0.8</v>
      </c>
      <c r="F81" s="3">
        <f>IFERROR(Condensate[[#This Row],[น้ำ CONDENSATE กลับ]]/Condensate[[#This Row],[รวมยอดใช้สตีม]],0)</f>
        <v>0.84686774941998222</v>
      </c>
      <c r="G81" s="4">
        <f>(Condensate[[#This Row],[%  condensate ]]-Condensate[[#This Row],[Target]])/80*100</f>
        <v>5.8584686774977718E-2</v>
      </c>
      <c r="H81" s="5">
        <f>IFERROR(Condensate[[#This Row],[ยอดการใช้ Steam BHS]]*Condensate[[#This Row],[น้ำ CONDENSATE กลับ]]/Condensate[[#This Row],[มิเตอร์น้ำ Boiler]],0)</f>
        <v>31.633333333333333</v>
      </c>
      <c r="I81" s="3">
        <f>IFERROR(Condensate[[#This Row],[CON Return bhs]]/Condensate[[#This Row],[ยอดการใช้ Steam BHS]],0)</f>
        <v>0.81111111111111112</v>
      </c>
      <c r="J81" s="6">
        <f>IFERROR(Condensate[[#This Row],[ยอดการใช้ Steam YUELI]]*Condensate[[#This Row],[น้ำ CONDENSATE กลับ]]/Condensate[[#This Row],[มิเตอร์น้ำ Boiler]],0)</f>
        <v>38.284444444442087</v>
      </c>
      <c r="K81" s="3">
        <f>IFERROR(Condensate[[#This Row],[CON Return yueli]]/Condensate[[#This Row],[ยอดการใช้ Steam YUELI]],0)</f>
        <v>0.81111111111111123</v>
      </c>
      <c r="L81" s="1">
        <f>'[7]ข้อมูลตัด ถ่านหิน'!C24</f>
        <v>39</v>
      </c>
      <c r="M81" s="1">
        <f>'[7]ข้อมูลตัด ถ่านหิน'!D24</f>
        <v>47.19999999999709</v>
      </c>
      <c r="N81" s="3">
        <f>IFERROR(Condensate[[#This Row],[ยอดการใช้ Steam BHS]]*100/Condensate[[#This Row],[รวมยอดใช้สตีม]]/100,0)</f>
        <v>0.45243619489560694</v>
      </c>
      <c r="O81" s="3">
        <f>IFERROR(Condensate[[#This Row],[ยอดการใช้ Steam YUELI]]*100/Condensate[[#This Row],[รวมยอดใช้สตีม]]/100,0)</f>
        <v>0.54756380510439306</v>
      </c>
      <c r="P81" s="1">
        <f>SUM(Condensate[[#This Row],[ยอดการใช้ Steam BHS]:[ยอดการใช้ Steam YUELI]])</f>
        <v>86.19999999999709</v>
      </c>
    </row>
    <row r="82" spans="1:16">
      <c r="A82" s="2">
        <v>45981</v>
      </c>
      <c r="B82" s="1">
        <f>VLOOKUP(Condensate[[#This Row],[วันที่]],'[6]TABLE DATA'!$V:$W,2,0)</f>
        <v>18</v>
      </c>
      <c r="C82" s="1">
        <f>[7]มิเตอร์น้ำ!BD22</f>
        <v>93</v>
      </c>
      <c r="D82" s="1">
        <f>Condensate[[#This Row],[มิเตอร์น้ำ Boiler]]-Condensate[[#This Row],[Soft Mark Up]]</f>
        <v>75</v>
      </c>
      <c r="E82" s="3">
        <f t="shared" si="1"/>
        <v>0.8</v>
      </c>
      <c r="F82" s="3">
        <f>IFERROR(Condensate[[#This Row],[น้ำ CONDENSATE กลับ]]/Condensate[[#This Row],[รวมยอดใช้สตีม]],0)</f>
        <v>0.8771929824560657</v>
      </c>
      <c r="G82" s="4">
        <f>(Condensate[[#This Row],[%  condensate ]]-Condensate[[#This Row],[Target]])/80*100</f>
        <v>9.6491228070082063E-2</v>
      </c>
      <c r="H82" s="5">
        <f>IFERROR(Condensate[[#This Row],[ยอดการใช้ Steam BHS]]*Condensate[[#This Row],[น้ำ CONDENSATE กลับ]]/Condensate[[#This Row],[มิเตอร์น้ำ Boiler]],0)</f>
        <v>35.161290322585337</v>
      </c>
      <c r="I82" s="3">
        <f>IFERROR(Condensate[[#This Row],[CON Return bhs]]/Condensate[[#This Row],[ยอดการใช้ Steam BHS]],0)</f>
        <v>0.80645161290322576</v>
      </c>
      <c r="J82" s="6">
        <f>IFERROR(Condensate[[#This Row],[ยอดการใช้ Steam YUELI]]*Condensate[[#This Row],[น้ำ CONDENSATE กลับ]]/Condensate[[#This Row],[มิเตอร์น้ำ Boiler]],0)</f>
        <v>33.790322580646333</v>
      </c>
      <c r="K82" s="3">
        <f>IFERROR(Condensate[[#This Row],[CON Return yueli]]/Condensate[[#This Row],[ยอดการใช้ Steam YUELI]],0)</f>
        <v>0.80645161290322576</v>
      </c>
      <c r="L82" s="1">
        <f>'[7]ข้อมูลตัด ถ่านหิน'!C25</f>
        <v>43.600000000005821</v>
      </c>
      <c r="M82" s="1">
        <f>'[7]ข้อมูลตัด ถ่านหิน'!D25</f>
        <v>41.900000000001455</v>
      </c>
      <c r="N82" s="3">
        <f>IFERROR(Condensate[[#This Row],[ยอดการใช้ Steam BHS]]*100/Condensate[[#This Row],[รวมยอดใช้สตีม]]/100,0)</f>
        <v>0.5099415204678609</v>
      </c>
      <c r="O82" s="3">
        <f>IFERROR(Condensate[[#This Row],[ยอดการใช้ Steam YUELI]]*100/Condensate[[#This Row],[รวมยอดใช้สตีม]]/100,0)</f>
        <v>0.4900584795321391</v>
      </c>
      <c r="P82" s="1">
        <f>SUM(Condensate[[#This Row],[ยอดการใช้ Steam BHS]:[ยอดการใช้ Steam YUELI]])</f>
        <v>85.500000000007276</v>
      </c>
    </row>
    <row r="83" spans="1:16">
      <c r="A83" s="2">
        <v>45982</v>
      </c>
      <c r="B83" s="1">
        <f>VLOOKUP(Condensate[[#This Row],[วันที่]],'[6]TABLE DATA'!$V:$W,2,0)</f>
        <v>16</v>
      </c>
      <c r="C83" s="1">
        <f>[7]มิเตอร์น้ำ!BD23</f>
        <v>92</v>
      </c>
      <c r="D83" s="1">
        <f>Condensate[[#This Row],[มิเตอร์น้ำ Boiler]]-Condensate[[#This Row],[Soft Mark Up]]</f>
        <v>76</v>
      </c>
      <c r="E83" s="3">
        <f t="shared" si="1"/>
        <v>0.8</v>
      </c>
      <c r="F83" s="3">
        <f>IFERROR(Condensate[[#This Row],[น้ำ CONDENSATE กลับ]]/Condensate[[#This Row],[รวมยอดใช้สตีม]],0)</f>
        <v>0.85972850678738688</v>
      </c>
      <c r="G83" s="4">
        <f>(Condensate[[#This Row],[%  condensate ]]-Condensate[[#This Row],[Target]])/80*100</f>
        <v>7.4660633484233546E-2</v>
      </c>
      <c r="H83" s="5">
        <f>IFERROR(Condensate[[#This Row],[ยอดการใช้ Steam BHS]]*Condensate[[#This Row],[น้ำ CONDENSATE กลับ]]/Condensate[[#This Row],[มิเตอร์น้ำ Boiler]],0)</f>
        <v>34.61304347825606</v>
      </c>
      <c r="I83" s="3">
        <f>IFERROR(Condensate[[#This Row],[CON Return bhs]]/Condensate[[#This Row],[ยอดการใช้ Steam BHS]],0)</f>
        <v>0.82608695652173914</v>
      </c>
      <c r="J83" s="6">
        <f>IFERROR(Condensate[[#This Row],[ยอดการใช้ Steam YUELI]]*Condensate[[#This Row],[น้ำ CONDENSATE กลับ]]/Condensate[[#This Row],[มิเตอร์น้ำ Boiler]],0)</f>
        <v>38.413043478260867</v>
      </c>
      <c r="K83" s="3">
        <f>IFERROR(Condensate[[#This Row],[CON Return yueli]]/Condensate[[#This Row],[ยอดการใช้ Steam YUELI]],0)</f>
        <v>0.82608695652173914</v>
      </c>
      <c r="L83" s="1">
        <f>'[7]ข้อมูลตัด ถ่านหิน'!C26</f>
        <v>41.899999999994179</v>
      </c>
      <c r="M83" s="1">
        <f>'[7]ข้อมูลตัด ถ่านหิน'!D26</f>
        <v>46.5</v>
      </c>
      <c r="N83" s="3">
        <f>IFERROR(Condensate[[#This Row],[ยอดการใช้ Steam BHS]]*100/Condensate[[#This Row],[รวมยอดใช้สตีม]]/100,0)</f>
        <v>0.47398190045245409</v>
      </c>
      <c r="O83" s="3">
        <f>IFERROR(Condensate[[#This Row],[ยอดการใช้ Steam YUELI]]*100/Condensate[[#This Row],[รวมยอดใช้สตีม]]/100,0)</f>
        <v>0.52601809954754597</v>
      </c>
      <c r="P83" s="1">
        <f>SUM(Condensate[[#This Row],[ยอดการใช้ Steam BHS]:[ยอดการใช้ Steam YUELI]])</f>
        <v>88.399999999994179</v>
      </c>
    </row>
    <row r="84" spans="1:16">
      <c r="A84" s="2">
        <v>45983</v>
      </c>
      <c r="B84" s="1">
        <f>VLOOKUP(Condensate[[#This Row],[วันที่]],'[6]TABLE DATA'!$V:$W,2,0)</f>
        <v>24</v>
      </c>
      <c r="C84" s="1">
        <f>[7]มิเตอร์น้ำ!BD24</f>
        <v>94</v>
      </c>
      <c r="D84" s="1">
        <f>Condensate[[#This Row],[มิเตอร์น้ำ Boiler]]-Condensate[[#This Row],[Soft Mark Up]]</f>
        <v>70</v>
      </c>
      <c r="E84" s="3">
        <f t="shared" si="1"/>
        <v>0.8</v>
      </c>
      <c r="F84" s="3">
        <f>IFERROR(Condensate[[#This Row],[น้ำ CONDENSATE กลับ]]/Condensate[[#This Row],[รวมยอดใช้สตีม]],0)</f>
        <v>0.79275198187986329</v>
      </c>
      <c r="G84" s="4">
        <f>(Condensate[[#This Row],[%  condensate ]]-Condensate[[#This Row],[Target]])/80*100</f>
        <v>-9.0600226501709458E-3</v>
      </c>
      <c r="H84" s="5">
        <f>IFERROR(Condensate[[#This Row],[ยอดการใช้ Steam BHS]]*Condensate[[#This Row],[น้ำ CONDENSATE กลับ]]/Condensate[[#This Row],[มิเตอร์น้ำ Boiler]],0)</f>
        <v>32.170212765966113</v>
      </c>
      <c r="I84" s="3">
        <f>IFERROR(Condensate[[#This Row],[CON Return bhs]]/Condensate[[#This Row],[ยอดการใช้ Steam BHS]],0)</f>
        <v>0.74468085106382975</v>
      </c>
      <c r="J84" s="6">
        <f>IFERROR(Condensate[[#This Row],[ยอดการใช้ Steam YUELI]]*Condensate[[#This Row],[น้ำ CONDENSATE กลับ]]/Condensate[[#This Row],[มิเตอร์น้ำ Boiler]],0)</f>
        <v>33.585106382977642</v>
      </c>
      <c r="K84" s="3">
        <f>IFERROR(Condensate[[#This Row],[CON Return yueli]]/Condensate[[#This Row],[ยอดการใช้ Steam YUELI]],0)</f>
        <v>0.74468085106382986</v>
      </c>
      <c r="L84" s="1">
        <f>'[7]ข้อมูลตัด ถ่านหิน'!C27</f>
        <v>43.200000000011642</v>
      </c>
      <c r="M84" s="1">
        <f>'[7]ข้อมูลตัด ถ่านหิน'!D27</f>
        <v>45.099999999998545</v>
      </c>
      <c r="N84" s="3">
        <f>IFERROR(Condensate[[#This Row],[ยอดการใช้ Steam BHS]]*100/Condensate[[#This Row],[รวมยอดใช้สตีม]]/100,0)</f>
        <v>0.48924122310313317</v>
      </c>
      <c r="O84" s="3">
        <f>IFERROR(Condensate[[#This Row],[ยอดการใช้ Steam YUELI]]*100/Condensate[[#This Row],[รวมยอดใช้สตีม]]/100,0)</f>
        <v>0.51075877689686688</v>
      </c>
      <c r="P84" s="1">
        <f>SUM(Condensate[[#This Row],[ยอดการใช้ Steam BHS]:[ยอดการใช้ Steam YUELI]])</f>
        <v>88.300000000010186</v>
      </c>
    </row>
    <row r="85" spans="1:16">
      <c r="A85" s="2">
        <v>45984</v>
      </c>
      <c r="B85" s="1">
        <f>VLOOKUP(Condensate[[#This Row],[วันที่]],'[6]TABLE DATA'!$V:$W,2,0)</f>
        <v>11</v>
      </c>
      <c r="C85" s="1">
        <f>[7]มิเตอร์น้ำ!BD25</f>
        <v>56</v>
      </c>
      <c r="D85" s="1">
        <f>Condensate[[#This Row],[มิเตอร์น้ำ Boiler]]-Condensate[[#This Row],[Soft Mark Up]]</f>
        <v>45</v>
      </c>
      <c r="E85" s="3">
        <f t="shared" si="1"/>
        <v>0.8</v>
      </c>
      <c r="F85" s="3">
        <f>IFERROR(Condensate[[#This Row],[น้ำ CONDENSATE กลับ]]/Condensate[[#This Row],[รวมยอดใช้สตีม]],0)</f>
        <v>0.82568807339460559</v>
      </c>
      <c r="G85" s="4">
        <f>(Condensate[[#This Row],[%  condensate ]]-Condensate[[#This Row],[Target]])/80*100</f>
        <v>3.2110091743256935E-2</v>
      </c>
      <c r="H85" s="5">
        <f>IFERROR(Condensate[[#This Row],[ยอดการใช้ Steam BHS]]*Condensate[[#This Row],[น้ำ CONDENSATE กลับ]]/Condensate[[#This Row],[มิเตอร์น้ำ Boiler]],0)</f>
        <v>21.616071428566752</v>
      </c>
      <c r="I85" s="3">
        <f>IFERROR(Condensate[[#This Row],[CON Return bhs]]/Condensate[[#This Row],[ยอดการใช้ Steam BHS]],0)</f>
        <v>0.8035714285714286</v>
      </c>
      <c r="J85" s="6">
        <f>IFERROR(Condensate[[#This Row],[ยอดการใช้ Steam YUELI]]*Condensate[[#This Row],[น้ำ CONDENSATE กลับ]]/Condensate[[#This Row],[มิเตอร์น้ำ Boiler]],0)</f>
        <v>22.178571428570258</v>
      </c>
      <c r="K85" s="3">
        <f>IFERROR(Condensate[[#This Row],[CON Return yueli]]/Condensate[[#This Row],[ยอดการใช้ Steam YUELI]],0)</f>
        <v>0.80357142857142849</v>
      </c>
      <c r="L85" s="1">
        <f>'[7]ข้อมูลตัด ถ่านหิน'!C28</f>
        <v>26.899999999994179</v>
      </c>
      <c r="M85" s="1">
        <f>'[7]ข้อมูลตัด ถ่านหิน'!D28</f>
        <v>27.599999999998545</v>
      </c>
      <c r="N85" s="3">
        <f>IFERROR(Condensate[[#This Row],[ยอดการใช้ Steam BHS]]*100/Condensate[[#This Row],[รวมยอดใช้สตีม]]/100,0)</f>
        <v>0.49357798165133526</v>
      </c>
      <c r="O85" s="3">
        <f>IFERROR(Condensate[[#This Row],[ยอดการใช้ Steam YUELI]]*100/Condensate[[#This Row],[รวมยอดใช้สตีม]]/100,0)</f>
        <v>0.50642201834866474</v>
      </c>
      <c r="P85" s="1">
        <f>SUM(Condensate[[#This Row],[ยอดการใช้ Steam BHS]:[ยอดการใช้ Steam YUELI]])</f>
        <v>54.499999999992724</v>
      </c>
    </row>
    <row r="86" spans="1:16">
      <c r="A86" s="2">
        <v>45985</v>
      </c>
      <c r="B86" s="1">
        <f>VLOOKUP(Condensate[[#This Row],[วันที่]],'[6]TABLE DATA'!$V:$W,2,0)</f>
        <v>18</v>
      </c>
      <c r="C86" s="1">
        <f>[7]มิเตอร์น้ำ!BD26</f>
        <v>88</v>
      </c>
      <c r="D86" s="1">
        <f>Condensate[[#This Row],[มิเตอร์น้ำ Boiler]]-Condensate[[#This Row],[Soft Mark Up]]</f>
        <v>70</v>
      </c>
      <c r="E86" s="3">
        <f t="shared" si="1"/>
        <v>0.8</v>
      </c>
      <c r="F86" s="3">
        <f>IFERROR(Condensate[[#This Row],[น้ำ CONDENSATE กลับ]]/Condensate[[#This Row],[รวมยอดใช้สตีม]],0)</f>
        <v>0.81206496519724325</v>
      </c>
      <c r="G86" s="4">
        <f>(Condensate[[#This Row],[%  condensate ]]-Condensate[[#This Row],[Target]])/80*100</f>
        <v>1.5081206496554006E-2</v>
      </c>
      <c r="H86" s="5">
        <f>IFERROR(Condensate[[#This Row],[ยอดการใช้ Steam BHS]]*Condensate[[#This Row],[น้ำ CONDENSATE กลับ]]/Condensate[[#This Row],[มิเตอร์น้ำ Boiler]],0)</f>
        <v>33.329545454540828</v>
      </c>
      <c r="I86" s="3">
        <f>IFERROR(Condensate[[#This Row],[CON Return bhs]]/Condensate[[#This Row],[ยอดการใช้ Steam BHS]],0)</f>
        <v>0.79545454545454553</v>
      </c>
      <c r="J86" s="6">
        <f>IFERROR(Condensate[[#This Row],[ยอดการใช้ Steam YUELI]]*Condensate[[#This Row],[น้ำ CONDENSATE กลับ]]/Condensate[[#This Row],[มิเตอร์น้ำ Boiler]],0)</f>
        <v>35.238636363638676</v>
      </c>
      <c r="K86" s="3">
        <f>IFERROR(Condensate[[#This Row],[CON Return yueli]]/Condensate[[#This Row],[ยอดการใช้ Steam YUELI]],0)</f>
        <v>0.79545454545454541</v>
      </c>
      <c r="L86" s="1">
        <f>'[7]ข้อมูลตัด ถ่านหิน'!C29</f>
        <v>41.899999999994179</v>
      </c>
      <c r="M86" s="1">
        <f>'[7]ข้อมูลตัด ถ่านหิน'!D29</f>
        <v>44.30000000000291</v>
      </c>
      <c r="N86" s="3">
        <f>IFERROR(Condensate[[#This Row],[ยอดการใช้ Steam BHS]]*100/Condensate[[#This Row],[รวมยอดใช้สตีม]]/100,0)</f>
        <v>0.48607888631085372</v>
      </c>
      <c r="O86" s="3">
        <f>IFERROR(Condensate[[#This Row],[ยอดการใช้ Steam YUELI]]*100/Condensate[[#This Row],[รวมยอดใช้สตีม]]/100,0)</f>
        <v>0.51392111368914628</v>
      </c>
      <c r="P86" s="1">
        <f>SUM(Condensate[[#This Row],[ยอดการใช้ Steam BHS]:[ยอดการใช้ Steam YUELI]])</f>
        <v>86.19999999999709</v>
      </c>
    </row>
    <row r="87" spans="1:16">
      <c r="A87" s="2">
        <v>45986</v>
      </c>
      <c r="B87" s="1">
        <f>VLOOKUP(Condensate[[#This Row],[วันที่]],'[6]TABLE DATA'!$V:$W,2,0)</f>
        <v>12</v>
      </c>
      <c r="C87" s="1">
        <f>[7]มิเตอร์น้ำ!BD27</f>
        <v>101</v>
      </c>
      <c r="D87" s="1">
        <f>Condensate[[#This Row],[มิเตอร์น้ำ Boiler]]-Condensate[[#This Row],[Soft Mark Up]]</f>
        <v>89</v>
      </c>
      <c r="E87" s="3">
        <f t="shared" si="1"/>
        <v>0.8</v>
      </c>
      <c r="F87" s="3">
        <f>IFERROR(Condensate[[#This Row],[น้ำ CONDENSATE กลับ]]/Condensate[[#This Row],[รวมยอดใช้สตีม]],0)</f>
        <v>0.83177570093453412</v>
      </c>
      <c r="G87" s="4">
        <f>(Condensate[[#This Row],[%  condensate ]]-Condensate[[#This Row],[Target]])/80*100</f>
        <v>3.9719626168167599E-2</v>
      </c>
      <c r="H87" s="5">
        <f>IFERROR(Condensate[[#This Row],[ยอดการใช้ Steam BHS]]*Condensate[[#This Row],[น้ำ CONDENSATE กลับ]]/Condensate[[#This Row],[มิเตอร์น้ำ Boiler]],0)</f>
        <v>36.216831683173446</v>
      </c>
      <c r="I87" s="3">
        <f>IFERROR(Condensate[[#This Row],[CON Return bhs]]/Condensate[[#This Row],[ยอดการใช้ Steam BHS]],0)</f>
        <v>0.88118811881188119</v>
      </c>
      <c r="J87" s="6">
        <f>IFERROR(Condensate[[#This Row],[ยอดการใช้ Steam YUELI]]*Condensate[[#This Row],[น้ำ CONDENSATE กลับ]]/Condensate[[#This Row],[มิเตอร์น้ำ Boiler]],0)</f>
        <v>58.070297029702971</v>
      </c>
      <c r="K87" s="3">
        <f>IFERROR(Condensate[[#This Row],[CON Return yueli]]/Condensate[[#This Row],[ยอดการใช้ Steam YUELI]],0)</f>
        <v>0.88118811881188108</v>
      </c>
      <c r="L87" s="1">
        <f>'[7]ข้อมูลตัด ถ่านหิน'!C30</f>
        <v>41.100000000005821</v>
      </c>
      <c r="M87" s="1">
        <f>'[7]ข้อมูลตัด ถ่านหิน'!D30</f>
        <v>65.900000000000006</v>
      </c>
      <c r="N87" s="3">
        <f>IFERROR(Condensate[[#This Row],[ยอดการใช้ Steam BHS]]*100/Condensate[[#This Row],[รวมยอดใช้สตีม]]/100,0)</f>
        <v>0.38411214953274375</v>
      </c>
      <c r="O87" s="3">
        <f>IFERROR(Condensate[[#This Row],[ยอดการใช้ Steam YUELI]]*100/Condensate[[#This Row],[รวมยอดใช้สตีม]]/100,0)</f>
        <v>0.61588785046725625</v>
      </c>
      <c r="P87" s="1">
        <f>SUM(Condensate[[#This Row],[ยอดการใช้ Steam BHS]:[ยอดการใช้ Steam YUELI]])</f>
        <v>107.00000000000583</v>
      </c>
    </row>
    <row r="88" spans="1:16">
      <c r="A88" s="2">
        <v>45987</v>
      </c>
      <c r="B88" s="1">
        <f>VLOOKUP(Condensate[[#This Row],[วันที่]],'[6]TABLE DATA'!$V:$W,2,0)</f>
        <v>15</v>
      </c>
      <c r="C88" s="1">
        <f>[7]มิเตอร์น้ำ!BD28</f>
        <v>105</v>
      </c>
      <c r="D88" s="1">
        <f>Condensate[[#This Row],[มิเตอร์น้ำ Boiler]]-Condensate[[#This Row],[Soft Mark Up]]</f>
        <v>90</v>
      </c>
      <c r="E88" s="3">
        <f t="shared" si="1"/>
        <v>0.8</v>
      </c>
      <c r="F88" s="3">
        <f>IFERROR(Condensate[[#This Row],[น้ำ CONDENSATE กลับ]]/Condensate[[#This Row],[รวมยอดใช้สตีม]],0)</f>
        <v>0.81300813008130079</v>
      </c>
      <c r="G88" s="4">
        <f>(Condensate[[#This Row],[%  condensate ]]-Condensate[[#This Row],[Target]])/80*100</f>
        <v>1.6260162601625938E-2</v>
      </c>
      <c r="H88" s="5">
        <f>IFERROR(Condensate[[#This Row],[ยอดการใช้ Steam BHS]]*Condensate[[#This Row],[น้ำ CONDENSATE กลับ]]/Condensate[[#This Row],[มิเตอร์น้ำ Boiler]],0)</f>
        <v>36.857142857142854</v>
      </c>
      <c r="I88" s="3">
        <f>IFERROR(Condensate[[#This Row],[CON Return bhs]]/Condensate[[#This Row],[ยอดการใช้ Steam BHS]],0)</f>
        <v>0.8571428571428571</v>
      </c>
      <c r="J88" s="6">
        <f>IFERROR(Condensate[[#This Row],[ยอดการใช้ Steam YUELI]]*Condensate[[#This Row],[น้ำ CONDENSATE กลับ]]/Condensate[[#This Row],[มิเตอร์น้ำ Boiler]],0)</f>
        <v>58.028571428571432</v>
      </c>
      <c r="K88" s="3">
        <f>IFERROR(Condensate[[#This Row],[CON Return yueli]]/Condensate[[#This Row],[ยอดการใช้ Steam YUELI]],0)</f>
        <v>0.85714285714285721</v>
      </c>
      <c r="L88" s="1">
        <f>'[7]ข้อมูลตัด ถ่านหิน'!C31</f>
        <v>43</v>
      </c>
      <c r="M88" s="1">
        <f>'[7]ข้อมูลตัด ถ่านหิน'!D31</f>
        <v>67.7</v>
      </c>
      <c r="N88" s="3">
        <f>IFERROR(Condensate[[#This Row],[ยอดการใช้ Steam BHS]]*100/Condensate[[#This Row],[รวมยอดใช้สตีม]]/100,0)</f>
        <v>0.38843721770551037</v>
      </c>
      <c r="O88" s="3">
        <f>IFERROR(Condensate[[#This Row],[ยอดการใช้ Steam YUELI]]*100/Condensate[[#This Row],[รวมยอดใช้สตีม]]/100,0)</f>
        <v>0.61156278229448957</v>
      </c>
      <c r="P88" s="1">
        <f>SUM(Condensate[[#This Row],[ยอดการใช้ Steam BHS]:[ยอดการใช้ Steam YUELI]])</f>
        <v>110.7</v>
      </c>
    </row>
    <row r="89" spans="1:16">
      <c r="A89" s="2">
        <v>45988</v>
      </c>
      <c r="B89" s="1">
        <f>VLOOKUP(Condensate[[#This Row],[วันที่]],'[6]TABLE DATA'!$V:$W,2,0)</f>
        <v>14</v>
      </c>
      <c r="C89" s="1">
        <f>[7]มิเตอร์น้ำ!BD29</f>
        <v>102</v>
      </c>
      <c r="D89" s="1">
        <f>Condensate[[#This Row],[มิเตอร์น้ำ Boiler]]-Condensate[[#This Row],[Soft Mark Up]]</f>
        <v>88</v>
      </c>
      <c r="E89" s="3">
        <f t="shared" si="1"/>
        <v>0.8</v>
      </c>
      <c r="F89" s="3">
        <f>IFERROR(Condensate[[#This Row],[น้ำ CONDENSATE กลับ]]/Condensate[[#This Row],[รวมยอดใช้สตีม]],0)</f>
        <v>0.84696823869090676</v>
      </c>
      <c r="G89" s="4">
        <f>(Condensate[[#This Row],[%  condensate ]]-Condensate[[#This Row],[Target]])/80*100</f>
        <v>5.8710298363633402E-2</v>
      </c>
      <c r="H89" s="5">
        <f>IFERROR(Condensate[[#This Row],[ยอดการใช้ Steam BHS]]*Condensate[[#This Row],[น้ำ CONDENSATE กลับ]]/Condensate[[#This Row],[มิเตอร์น้ำ Boiler]],0)</f>
        <v>37.356862745113105</v>
      </c>
      <c r="I89" s="3">
        <f>IFERROR(Condensate[[#This Row],[CON Return bhs]]/Condensate[[#This Row],[ยอดการใช้ Steam BHS]],0)</f>
        <v>0.86274509803921573</v>
      </c>
      <c r="J89" s="6">
        <f>IFERROR(Condensate[[#This Row],[ยอดการใช้ Steam YUELI]]*Condensate[[#This Row],[น้ำ CONDENSATE กลับ]]/Condensate[[#This Row],[มิเตอร์น้ำ Boiler]],0)</f>
        <v>52.28235294117647</v>
      </c>
      <c r="K89" s="3">
        <f>IFERROR(Condensate[[#This Row],[CON Return yueli]]/Condensate[[#This Row],[ยอดการใช้ Steam YUELI]],0)</f>
        <v>0.86274509803921562</v>
      </c>
      <c r="L89" s="1">
        <f>'[7]ข้อมูลตัด ถ่านหิน'!C32</f>
        <v>43.300000000017462</v>
      </c>
      <c r="M89" s="1">
        <f>'[7]ข้อมูลตัด ถ่านหิน'!D32</f>
        <v>60.6</v>
      </c>
      <c r="N89" s="3">
        <f>IFERROR(Condensate[[#This Row],[ยอดการใช้ Steam BHS]]*100/Condensate[[#This Row],[รวมยอดใช้สตีม]]/100,0)</f>
        <v>0.41674687199239835</v>
      </c>
      <c r="O89" s="3">
        <f>IFERROR(Condensate[[#This Row],[ยอดการใช้ Steam YUELI]]*100/Condensate[[#This Row],[รวมยอดใช้สตีม]]/100,0)</f>
        <v>0.58325312800760176</v>
      </c>
      <c r="P89" s="1">
        <f>SUM(Condensate[[#This Row],[ยอดการใช้ Steam BHS]:[ยอดการใช้ Steam YUELI]])</f>
        <v>103.90000000001746</v>
      </c>
    </row>
    <row r="90" spans="1:16">
      <c r="A90" s="2">
        <v>45989</v>
      </c>
      <c r="B90" s="1">
        <f>VLOOKUP(Condensate[[#This Row],[วันที่]],'[6]TABLE DATA'!$V:$W,2,0)</f>
        <v>15</v>
      </c>
      <c r="C90" s="1">
        <f>[7]มิเตอร์น้ำ!BD30</f>
        <v>104</v>
      </c>
      <c r="D90" s="1">
        <f>Condensate[[#This Row],[มิเตอร์น้ำ Boiler]]-Condensate[[#This Row],[Soft Mark Up]]</f>
        <v>89</v>
      </c>
      <c r="E90" s="3">
        <f t="shared" si="1"/>
        <v>0.8</v>
      </c>
      <c r="F90" s="3">
        <f>IFERROR(Condensate[[#This Row],[น้ำ CONDENSATE กลับ]]/Condensate[[#This Row],[รวมยอดใช้สตีม]],0)</f>
        <v>0.82179132040645553</v>
      </c>
      <c r="G90" s="4">
        <f>(Condensate[[#This Row],[%  condensate ]]-Condensate[[#This Row],[Target]])/80*100</f>
        <v>2.7239150508069354E-2</v>
      </c>
      <c r="H90" s="5">
        <f>IFERROR(Condensate[[#This Row],[ยอดการใช้ Steam BHS]]*Condensate[[#This Row],[น้ำ CONDENSATE กลับ]]/Condensate[[#This Row],[มิเตอร์น้ำ Boiler]],0)</f>
        <v>36.883653846133925</v>
      </c>
      <c r="I90" s="3">
        <f>IFERROR(Condensate[[#This Row],[CON Return bhs]]/Condensate[[#This Row],[ยอดการใช้ Steam BHS]],0)</f>
        <v>0.85576923076923084</v>
      </c>
      <c r="J90" s="6">
        <f>IFERROR(Condensate[[#This Row],[ยอดการใช้ Steam YUELI]]*Condensate[[#This Row],[น้ำ CONDENSATE กลับ]]/Condensate[[#This Row],[มิเตอร์น้ำ Boiler]],0)</f>
        <v>55.79615384615385</v>
      </c>
      <c r="K90" s="3">
        <f>IFERROR(Condensate[[#This Row],[CON Return yueli]]/Condensate[[#This Row],[ยอดการใช้ Steam YUELI]],0)</f>
        <v>0.85576923076923084</v>
      </c>
      <c r="L90" s="1">
        <f>'[7]ข้อมูลตัด ถ่านหิน'!C33</f>
        <v>43.099999999976717</v>
      </c>
      <c r="M90" s="1">
        <f>'[7]ข้อมูลตัด ถ่านหิน'!D33</f>
        <v>65.2</v>
      </c>
      <c r="N90" s="3">
        <f>IFERROR(Condensate[[#This Row],[ยอดการใช้ Steam BHS]]*100/Condensate[[#This Row],[รวมยอดใช้สตีม]]/100,0)</f>
        <v>0.39796860572470899</v>
      </c>
      <c r="O90" s="3">
        <f>IFERROR(Condensate[[#This Row],[ยอดการใช้ Steam YUELI]]*100/Condensate[[#This Row],[รวมยอดใช้สตีม]]/100,0)</f>
        <v>0.60203139427529107</v>
      </c>
      <c r="P90" s="1">
        <f>SUM(Condensate[[#This Row],[ยอดการใช้ Steam BHS]:[ยอดการใช้ Steam YUELI]])</f>
        <v>108.29999999997672</v>
      </c>
    </row>
    <row r="91" spans="1:16">
      <c r="A91" s="2">
        <v>45990</v>
      </c>
      <c r="B91" s="1">
        <f>VLOOKUP(Condensate[[#This Row],[วันที่]],'[6]TABLE DATA'!$V:$W,2,0)</f>
        <v>18</v>
      </c>
      <c r="C91" s="1">
        <f>[7]มิเตอร์น้ำ!BD31</f>
        <v>102</v>
      </c>
      <c r="D91" s="1">
        <f>Condensate[[#This Row],[มิเตอร์น้ำ Boiler]]-Condensate[[#This Row],[Soft Mark Up]]</f>
        <v>84</v>
      </c>
      <c r="E91" s="3">
        <f t="shared" si="1"/>
        <v>0.8</v>
      </c>
      <c r="F91" s="3">
        <f>IFERROR(Condensate[[#This Row],[น้ำ CONDENSATE กลับ]]/Condensate[[#This Row],[รวมยอดใช้สตีม]],0)</f>
        <v>0.81474296799224055</v>
      </c>
      <c r="G91" s="4">
        <f>(Condensate[[#This Row],[%  condensate ]]-Condensate[[#This Row],[Target]])/80*100</f>
        <v>1.8428709990300635E-2</v>
      </c>
      <c r="H91" s="5">
        <f>IFERROR(Condensate[[#This Row],[ยอดการใช้ Steam BHS]]*Condensate[[#This Row],[น้ำ CONDENSATE กลับ]]/Condensate[[#This Row],[มิเตอร์น้ำ Boiler]],0)</f>
        <v>36.647058823529413</v>
      </c>
      <c r="I91" s="3">
        <f>IFERROR(Condensate[[#This Row],[CON Return bhs]]/Condensate[[#This Row],[ยอดการใช้ Steam BHS]],0)</f>
        <v>0.82352941176470595</v>
      </c>
      <c r="J91" s="6">
        <f>IFERROR(Condensate[[#This Row],[ยอดการใช้ Steam YUELI]]*Condensate[[#This Row],[น้ำ CONDENSATE กลับ]]/Condensate[[#This Row],[มิเตอร์น้ำ Boiler]],0)</f>
        <v>48.258823529411771</v>
      </c>
      <c r="K91" s="3">
        <f>IFERROR(Condensate[[#This Row],[CON Return yueli]]/Condensate[[#This Row],[ยอดการใช้ Steam YUELI]],0)</f>
        <v>0.82352941176470595</v>
      </c>
      <c r="L91" s="1">
        <f>'[7]ข้อมูลตัด ถ่านหิน'!C34</f>
        <v>44.5</v>
      </c>
      <c r="M91" s="1">
        <f>'[7]ข้อมูลตัด ถ่านหิน'!D34</f>
        <v>58.6</v>
      </c>
      <c r="N91" s="3">
        <f>IFERROR(Condensate[[#This Row],[ยอดการใช้ Steam BHS]]*100/Condensate[[#This Row],[รวมยอดใช้สตีม]]/100,0)</f>
        <v>0.431619786614937</v>
      </c>
      <c r="O91" s="3">
        <f>IFERROR(Condensate[[#This Row],[ยอดการใช้ Steam YUELI]]*100/Condensate[[#This Row],[รวมยอดใช้สตีม]]/100,0)</f>
        <v>0.56838021338506306</v>
      </c>
      <c r="P91" s="1">
        <f>SUM(Condensate[[#This Row],[ยอดการใช้ Steam BHS]:[ยอดการใช้ Steam YUELI]])</f>
        <v>103.1</v>
      </c>
    </row>
    <row r="92" spans="1:16">
      <c r="A92" s="2">
        <v>45991</v>
      </c>
      <c r="B92" s="1">
        <f>VLOOKUP(Condensate[[#This Row],[วันที่]],'[6]TABLE DATA'!$V:$W,2,0)</f>
        <v>17</v>
      </c>
      <c r="C92" s="1">
        <f>[7]มิเตอร์น้ำ!BD32</f>
        <v>101</v>
      </c>
      <c r="D92" s="1">
        <f>Condensate[[#This Row],[มิเตอร์น้ำ Boiler]]-Condensate[[#This Row],[Soft Mark Up]]</f>
        <v>84</v>
      </c>
      <c r="E92" s="3">
        <f t="shared" si="1"/>
        <v>0.8</v>
      </c>
      <c r="F92" s="3">
        <f>IFERROR(Condensate[[#This Row],[น้ำ CONDENSATE กลับ]]/Condensate[[#This Row],[รวมยอดใช้สตีม]],0)</f>
        <v>0.90225563909768791</v>
      </c>
      <c r="G92" s="4">
        <f>(Condensate[[#This Row],[%  condensate ]]-Condensate[[#This Row],[Target]])/80*100</f>
        <v>0.12781954887210983</v>
      </c>
      <c r="H92" s="5">
        <f>IFERROR(Condensate[[#This Row],[ยอดการใช้ Steam BHS]]*Condensate[[#This Row],[น้ำ CONDENSATE กลับ]]/Condensate[[#This Row],[มิเตอร์น้ำ Boiler]],0)</f>
        <v>35.013861386143454</v>
      </c>
      <c r="I92" s="3">
        <f>IFERROR(Condensate[[#This Row],[CON Return bhs]]/Condensate[[#This Row],[ยอดการใช้ Steam BHS]],0)</f>
        <v>0.83168316831683164</v>
      </c>
      <c r="J92" s="6">
        <f>IFERROR(Condensate[[#This Row],[ยอดการใช้ Steam YUELI]]*Condensate[[#This Row],[น้ำ CONDENSATE กลับ]]/Condensate[[#This Row],[มิเตอร์น้ำ Boiler]],0)</f>
        <v>42.415841584158414</v>
      </c>
      <c r="K92" s="3">
        <f>IFERROR(Condensate[[#This Row],[CON Return yueli]]/Condensate[[#This Row],[ยอดการใช้ Steam YUELI]],0)</f>
        <v>0.83168316831683164</v>
      </c>
      <c r="L92" s="1">
        <f>'[7]ข้อมูลตัด ถ่านหิน'!C35</f>
        <v>42.100000000005821</v>
      </c>
      <c r="M92" s="1">
        <f>'[7]ข้อมูลตัด ถ่านหิน'!D35</f>
        <v>51</v>
      </c>
      <c r="N92" s="3">
        <f>IFERROR(Condensate[[#This Row],[ยอดการใช้ Steam BHS]]*100/Condensate[[#This Row],[รวมยอดใช้สตีม]]/100,0)</f>
        <v>0.45220193340497516</v>
      </c>
      <c r="O92" s="3">
        <f>IFERROR(Condensate[[#This Row],[ยอดการใช้ Steam YUELI]]*100/Condensate[[#This Row],[รวมยอดใช้สตีม]]/100,0)</f>
        <v>0.54779806659502484</v>
      </c>
      <c r="P92" s="1">
        <f>SUM(Condensate[[#This Row],[ยอดการใช้ Steam BHS]:[ยอดการใช้ Steam YUELI]])</f>
        <v>93.100000000005821</v>
      </c>
    </row>
    <row r="93" spans="1:16">
      <c r="A93" s="2">
        <v>45992</v>
      </c>
      <c r="B93" s="1">
        <f>VLOOKUP(Condensate[[#This Row],[วันที่]],'[8]TABLE DATA'!$V:$W,2,0)</f>
        <v>15</v>
      </c>
      <c r="C93" s="1">
        <f>[9]มิเตอร์น้ำ!BI3</f>
        <v>89</v>
      </c>
      <c r="D93" s="1">
        <f>Condensate[[#This Row],[มิเตอร์น้ำ Boiler]]-Condensate[[#This Row],[Soft Mark Up]]</f>
        <v>74</v>
      </c>
      <c r="E93" s="3">
        <f t="shared" si="1"/>
        <v>0.8</v>
      </c>
      <c r="F93" s="3">
        <f>IFERROR(Condensate[[#This Row],[น้ำ CONDENSATE กลับ]]/Condensate[[#This Row],[รวมยอดใช้สตีม]],0)</f>
        <v>0.84474885844729208</v>
      </c>
      <c r="G93" s="4">
        <f>(Condensate[[#This Row],[%  condensate ]]-Condensate[[#This Row],[Target]])/80*100</f>
        <v>5.5936073059115049E-2</v>
      </c>
      <c r="H93" s="5">
        <f>IFERROR(Condensate[[#This Row],[ยอดการใช้ Steam BHS]]*Condensate[[#This Row],[น้ำ CONDENSATE กลับ]]/Condensate[[#This Row],[มิเตอร์น้ำ Boiler]],0)</f>
        <v>33.923595505632498</v>
      </c>
      <c r="I93" s="3">
        <f>IFERROR(Condensate[[#This Row],[CON Return bhs]]/Condensate[[#This Row],[ยอดการใช้ Steam BHS]],0)</f>
        <v>0.8314606741573034</v>
      </c>
      <c r="J93" s="6">
        <f>IFERROR(Condensate[[#This Row],[ยอดการใช้ Steam YUELI]]*Condensate[[#This Row],[น้ำ CONDENSATE กลับ]]/Condensate[[#This Row],[มิเตอร์น้ำ Boiler]],0)</f>
        <v>38.912359550564219</v>
      </c>
      <c r="K93" s="3">
        <f>IFERROR(Condensate[[#This Row],[CON Return yueli]]/Condensate[[#This Row],[ยอดการใช้ Steam YUELI]],0)</f>
        <v>0.8314606741573034</v>
      </c>
      <c r="L93" s="1">
        <f>'[9]ข้อมูลตัด ถ่านหิน'!C6</f>
        <v>40.800000000017462</v>
      </c>
      <c r="M93" s="1">
        <f>'[9]ข้อมูลตัด ถ่านหิน'!D6</f>
        <v>46.80000000000291</v>
      </c>
      <c r="N93" s="3">
        <f>IFERROR(Condensate[[#This Row],[ยอดการใช้ Steam BHS]]*100/Condensate[[#This Row],[รวมยอดใช้สตีม]]/100,0)</f>
        <v>0.46575342465762526</v>
      </c>
      <c r="O93" s="3">
        <f>IFERROR(Condensate[[#This Row],[ยอดการใช้ Steam YUELI]]*100/Condensate[[#This Row],[รวมยอดใช้สตีม]]/100,0)</f>
        <v>0.53424657534237474</v>
      </c>
      <c r="P93" s="1">
        <f>SUM(Condensate[[#This Row],[ยอดการใช้ Steam BHS]:[ยอดการใช้ Steam YUELI]])</f>
        <v>87.600000000020373</v>
      </c>
    </row>
    <row r="94" spans="1:16">
      <c r="A94" s="2">
        <v>45993</v>
      </c>
      <c r="B94" s="1">
        <f>VLOOKUP(Condensate[[#This Row],[วันที่]],'[8]TABLE DATA'!$V:$W,2,0)</f>
        <v>20</v>
      </c>
      <c r="C94" s="1">
        <f>[9]มิเตอร์น้ำ!BI4</f>
        <v>103</v>
      </c>
      <c r="D94" s="1">
        <f>Condensate[[#This Row],[มิเตอร์น้ำ Boiler]]-Condensate[[#This Row],[Soft Mark Up]]</f>
        <v>83</v>
      </c>
      <c r="E94" s="3">
        <f t="shared" si="1"/>
        <v>0.8</v>
      </c>
      <c r="F94" s="3">
        <f>IFERROR(Condensate[[#This Row],[น้ำ CONDENSATE กลับ]]/Condensate[[#This Row],[รวมยอดใช้สตีม]],0)</f>
        <v>0.77497665732959853</v>
      </c>
      <c r="G94" s="4">
        <f>(Condensate[[#This Row],[%  condensate ]]-Condensate[[#This Row],[Target]])/80*100</f>
        <v>-3.1279178338001895E-2</v>
      </c>
      <c r="H94" s="5">
        <f>IFERROR(Condensate[[#This Row],[ยอดการใช้ Steam BHS]]*Condensate[[#This Row],[น้ำ CONDENSATE กลับ]]/Condensate[[#This Row],[มิเตอร์น้ำ Boiler]],0)</f>
        <v>34.247572815533978</v>
      </c>
      <c r="I94" s="3">
        <f>IFERROR(Condensate[[#This Row],[CON Return bhs]]/Condensate[[#This Row],[ยอดการใช้ Steam BHS]],0)</f>
        <v>0.80582524271844658</v>
      </c>
      <c r="J94" s="6">
        <f>IFERROR(Condensate[[#This Row],[ยอดการใช้ Steam YUELI]]*Condensate[[#This Row],[น้ำ CONDENSATE กลับ]]/Condensate[[#This Row],[มิเตอร์น้ำ Boiler]],0)</f>
        <v>52.056310679611641</v>
      </c>
      <c r="K94" s="3">
        <f>IFERROR(Condensate[[#This Row],[CON Return yueli]]/Condensate[[#This Row],[ยอดการใช้ Steam YUELI]],0)</f>
        <v>0.80582524271844658</v>
      </c>
      <c r="L94" s="1">
        <f>'[9]ข้อมูลตัด ถ่านหิน'!C7</f>
        <v>42.5</v>
      </c>
      <c r="M94" s="1">
        <f>'[9]ข้อมูลตัด ถ่านหิน'!D7</f>
        <v>64.599999999999994</v>
      </c>
      <c r="N94" s="3">
        <f>IFERROR(Condensate[[#This Row],[ยอดการใช้ Steam BHS]]*100/Condensate[[#This Row],[รวมยอดใช้สตีม]]/100,0)</f>
        <v>0.39682539682539686</v>
      </c>
      <c r="O94" s="3">
        <f>IFERROR(Condensate[[#This Row],[ยอดการใช้ Steam YUELI]]*100/Condensate[[#This Row],[รวมยอดใช้สตีม]]/100,0)</f>
        <v>0.60317460317460314</v>
      </c>
      <c r="P94" s="1">
        <f>SUM(Condensate[[#This Row],[ยอดการใช้ Steam BHS]:[ยอดการใช้ Steam YUELI]])</f>
        <v>107.1</v>
      </c>
    </row>
    <row r="95" spans="1:16">
      <c r="A95" s="2">
        <v>45994</v>
      </c>
      <c r="B95" s="1">
        <f>VLOOKUP(Condensate[[#This Row],[วันที่]],'[8]TABLE DATA'!$V:$W,2,0)</f>
        <v>20</v>
      </c>
      <c r="C95" s="1">
        <f>[9]มิเตอร์น้ำ!BI5</f>
        <v>101</v>
      </c>
      <c r="D95" s="1">
        <f>Condensate[[#This Row],[มิเตอร์น้ำ Boiler]]-Condensate[[#This Row],[Soft Mark Up]]</f>
        <v>81</v>
      </c>
      <c r="E95" s="3">
        <f t="shared" si="1"/>
        <v>0.8</v>
      </c>
      <c r="F95" s="3">
        <f>IFERROR(Condensate[[#This Row],[น้ำ CONDENSATE กลับ]]/Condensate[[#This Row],[รวมยอดใช้สตีม]],0)</f>
        <v>0.75208913649025066</v>
      </c>
      <c r="G95" s="4">
        <f>(Condensate[[#This Row],[%  condensate ]]-Condensate[[#This Row],[Target]])/80*100</f>
        <v>-5.9888579387186731E-2</v>
      </c>
      <c r="H95" s="5">
        <f>IFERROR(Condensate[[#This Row],[ยอดการใช้ Steam BHS]]*Condensate[[#This Row],[น้ำ CONDENSATE กลับ]]/Condensate[[#This Row],[มิเตอร์น้ำ Boiler]],0)</f>
        <v>34.485148514851488</v>
      </c>
      <c r="I95" s="3">
        <f>IFERROR(Condensate[[#This Row],[CON Return bhs]]/Condensate[[#This Row],[ยอดการใช้ Steam BHS]],0)</f>
        <v>0.80198019801980203</v>
      </c>
      <c r="J95" s="6">
        <f>IFERROR(Condensate[[#This Row],[ยอดการใช้ Steam YUELI]]*Condensate[[#This Row],[น้ำ CONDENSATE กลับ]]/Condensate[[#This Row],[มิเตอร์น้ำ Boiler]],0)</f>
        <v>51.888118811881185</v>
      </c>
      <c r="K95" s="3">
        <f>IFERROR(Condensate[[#This Row],[CON Return yueli]]/Condensate[[#This Row],[ยอดการใช้ Steam YUELI]],0)</f>
        <v>0.80198019801980192</v>
      </c>
      <c r="L95" s="1">
        <f>'[9]ข้อมูลตัด ถ่านหิน'!C8</f>
        <v>43</v>
      </c>
      <c r="M95" s="1">
        <f>'[9]ข้อมูลตัด ถ่านหิน'!D8</f>
        <v>64.7</v>
      </c>
      <c r="N95" s="3">
        <f>IFERROR(Condensate[[#This Row],[ยอดการใช้ Steam BHS]]*100/Condensate[[#This Row],[รวมยอดใช้สตีม]]/100,0)</f>
        <v>0.39925719591457748</v>
      </c>
      <c r="O95" s="3">
        <f>IFERROR(Condensate[[#This Row],[ยอดการใช้ Steam YUELI]]*100/Condensate[[#This Row],[รวมยอดใช้สตีม]]/100,0)</f>
        <v>0.60074280408542247</v>
      </c>
      <c r="P95" s="1">
        <f>SUM(Condensate[[#This Row],[ยอดการใช้ Steam BHS]:[ยอดการใช้ Steam YUELI]])</f>
        <v>107.7</v>
      </c>
    </row>
    <row r="96" spans="1:16">
      <c r="A96" s="2">
        <v>45995</v>
      </c>
      <c r="B96" s="1">
        <f>VLOOKUP(Condensate[[#This Row],[วันที่]],'[8]TABLE DATA'!$V:$W,2,0)</f>
        <v>20</v>
      </c>
      <c r="C96" s="1">
        <f>[9]มิเตอร์น้ำ!BI6</f>
        <v>107</v>
      </c>
      <c r="D96" s="1">
        <f>Condensate[[#This Row],[มิเตอร์น้ำ Boiler]]-Condensate[[#This Row],[Soft Mark Up]]</f>
        <v>87</v>
      </c>
      <c r="E96" s="3">
        <f t="shared" si="1"/>
        <v>0.8</v>
      </c>
      <c r="F96" s="3">
        <f>IFERROR(Condensate[[#This Row],[น้ำ CONDENSATE กลับ]]/Condensate[[#This Row],[รวมยอดใช้สตีม]],0)</f>
        <v>0.81843838193804608</v>
      </c>
      <c r="G96" s="4">
        <f>(Condensate[[#This Row],[%  condensate ]]-Condensate[[#This Row],[Target]])/80*100</f>
        <v>2.3047977422557542E-2</v>
      </c>
      <c r="H96" s="5">
        <f>IFERROR(Condensate[[#This Row],[ยอดการใช้ Steam BHS]]*Condensate[[#This Row],[น้ำ CONDENSATE กลับ]]/Condensate[[#This Row],[มิเตอร์น้ำ Boiler]],0)</f>
        <v>35.938317756995147</v>
      </c>
      <c r="I96" s="3">
        <f>IFERROR(Condensate[[#This Row],[CON Return bhs]]/Condensate[[#This Row],[ยอดการใช้ Steam BHS]],0)</f>
        <v>0.81308411214953269</v>
      </c>
      <c r="J96" s="6">
        <f>IFERROR(Condensate[[#This Row],[ยอดการใช้ Steam YUELI]]*Condensate[[#This Row],[น้ำ CONDENSATE กลับ]]/Condensate[[#This Row],[มิเตอร์น้ำ Boiler]],0)</f>
        <v>50.492523364485983</v>
      </c>
      <c r="K96" s="3">
        <f>IFERROR(Condensate[[#This Row],[CON Return yueli]]/Condensate[[#This Row],[ยอดการใช้ Steam YUELI]],0)</f>
        <v>0.81308411214953269</v>
      </c>
      <c r="L96" s="1">
        <f>'[9]ข้อมูลตัด ถ่านหิน'!C9</f>
        <v>44.199999999982538</v>
      </c>
      <c r="M96" s="1">
        <f>'[9]ข้อมูลตัด ถ่านหิน'!D9</f>
        <v>62.1</v>
      </c>
      <c r="N96" s="3">
        <f>IFERROR(Condensate[[#This Row],[ยอดการใช้ Steam BHS]]*100/Condensate[[#This Row],[รวมยอดใช้สตีม]]/100,0)</f>
        <v>0.41580432737525685</v>
      </c>
      <c r="O96" s="3">
        <f>IFERROR(Condensate[[#This Row],[ยอดการใช้ Steam YUELI]]*100/Condensate[[#This Row],[รวมยอดใช้สตีม]]/100,0)</f>
        <v>0.58419567262474326</v>
      </c>
      <c r="P96" s="1">
        <f>SUM(Condensate[[#This Row],[ยอดการใช้ Steam BHS]:[ยอดการใช้ Steam YUELI]])</f>
        <v>106.29999999998253</v>
      </c>
    </row>
    <row r="97" spans="1:16">
      <c r="A97" s="2">
        <v>45996</v>
      </c>
      <c r="B97" s="1">
        <f>VLOOKUP(Condensate[[#This Row],[วันที่]],'[8]TABLE DATA'!$V:$W,2,0)</f>
        <v>19</v>
      </c>
      <c r="C97" s="1">
        <f>[9]มิเตอร์น้ำ!BI7</f>
        <v>107</v>
      </c>
      <c r="D97" s="1">
        <f>Condensate[[#This Row],[มิเตอร์น้ำ Boiler]]-Condensate[[#This Row],[Soft Mark Up]]</f>
        <v>88</v>
      </c>
      <c r="E97" s="3">
        <f t="shared" si="1"/>
        <v>0.8</v>
      </c>
      <c r="F97" s="3">
        <f>IFERROR(Condensate[[#This Row],[น้ำ CONDENSATE กลับ]]/Condensate[[#This Row],[รวมยอดใช้สตีม]],0)</f>
        <v>0.81255771006463529</v>
      </c>
      <c r="G97" s="4">
        <f>(Condensate[[#This Row],[%  condensate ]]-Condensate[[#This Row],[Target]])/80*100</f>
        <v>1.5697137580794052E-2</v>
      </c>
      <c r="H97" s="5">
        <f>IFERROR(Condensate[[#This Row],[ยอดการใช้ Steam BHS]]*Condensate[[#This Row],[น้ำ CONDENSATE กลับ]]/Condensate[[#This Row],[มิเตอร์น้ำ Boiler]],0)</f>
        <v>35.364485981308412</v>
      </c>
      <c r="I97" s="3">
        <f>IFERROR(Condensate[[#This Row],[CON Return bhs]]/Condensate[[#This Row],[ยอดการใช้ Steam BHS]],0)</f>
        <v>0.82242990654205606</v>
      </c>
      <c r="J97" s="6">
        <f>IFERROR(Condensate[[#This Row],[ยอดการใช้ Steam YUELI]]*Condensate[[#This Row],[น้ำ CONDENSATE กลับ]]/Condensate[[#This Row],[มิเตอร์น้ำ Boiler]],0)</f>
        <v>53.704672897196261</v>
      </c>
      <c r="K97" s="3">
        <f>IFERROR(Condensate[[#This Row],[CON Return yueli]]/Condensate[[#This Row],[ยอดการใช้ Steam YUELI]],0)</f>
        <v>0.82242990654205606</v>
      </c>
      <c r="L97" s="1">
        <f>'[9]ข้อมูลตัด ถ่านหิน'!C10</f>
        <v>43</v>
      </c>
      <c r="M97" s="1">
        <f>'[9]ข้อมูลตัด ถ่านหิน'!D10</f>
        <v>65.3</v>
      </c>
      <c r="N97" s="3">
        <f>IFERROR(Condensate[[#This Row],[ยอดการใช้ Steam BHS]]*100/Condensate[[#This Row],[รวมยอดใช้สตีม]]/100,0)</f>
        <v>0.39704524469067409</v>
      </c>
      <c r="O97" s="3">
        <f>IFERROR(Condensate[[#This Row],[ยอดการใช้ Steam YUELI]]*100/Condensate[[#This Row],[รวมยอดใช้สตีม]]/100,0)</f>
        <v>0.60295475530932596</v>
      </c>
      <c r="P97" s="1">
        <f>SUM(Condensate[[#This Row],[ยอดการใช้ Steam BHS]:[ยอดการใช้ Steam YUELI]])</f>
        <v>108.3</v>
      </c>
    </row>
    <row r="98" spans="1:16">
      <c r="A98" s="2">
        <v>45997</v>
      </c>
      <c r="B98" s="1">
        <f>VLOOKUP(Condensate[[#This Row],[วันที่]],'[8]TABLE DATA'!$V:$W,2,0)</f>
        <v>18</v>
      </c>
      <c r="C98" s="1">
        <f>[9]มิเตอร์น้ำ!BI8</f>
        <v>102</v>
      </c>
      <c r="D98" s="1">
        <f>Condensate[[#This Row],[มิเตอร์น้ำ Boiler]]-Condensate[[#This Row],[Soft Mark Up]]</f>
        <v>84</v>
      </c>
      <c r="E98" s="3">
        <f t="shared" si="1"/>
        <v>0.8</v>
      </c>
      <c r="F98" s="3">
        <f>IFERROR(Condensate[[#This Row],[น้ำ CONDENSATE กลับ]]/Condensate[[#This Row],[รวมยอดใช้สตีม]],0)</f>
        <v>0.77276908923647192</v>
      </c>
      <c r="G98" s="4">
        <f>(Condensate[[#This Row],[%  condensate ]]-Condensate[[#This Row],[Target]])/80*100</f>
        <v>-3.4038638454410158E-2</v>
      </c>
      <c r="H98" s="5">
        <f>IFERROR(Condensate[[#This Row],[ยอดการใช้ Steam BHS]]*Condensate[[#This Row],[น้ำ CONDENSATE กลับ]]/Condensate[[#This Row],[มิเตอร์น้ำ Boiler]],0)</f>
        <v>34.917647058818737</v>
      </c>
      <c r="I98" s="3">
        <f>IFERROR(Condensate[[#This Row],[CON Return bhs]]/Condensate[[#This Row],[ยอดการใช้ Steam BHS]],0)</f>
        <v>0.82352941176470595</v>
      </c>
      <c r="J98" s="6">
        <f>IFERROR(Condensate[[#This Row],[ยอดการใช้ Steam YUELI]]*Condensate[[#This Row],[น้ำ CONDENSATE กลับ]]/Condensate[[#This Row],[มิเตอร์น้ำ Boiler]],0)</f>
        <v>54.6</v>
      </c>
      <c r="K98" s="3">
        <f>IFERROR(Condensate[[#This Row],[CON Return yueli]]/Condensate[[#This Row],[ยอดการใช้ Steam YUELI]],0)</f>
        <v>0.82352941176470595</v>
      </c>
      <c r="L98" s="1">
        <f>'[9]ข้อมูลตัด ถ่านหิน'!C11</f>
        <v>42.399999999994179</v>
      </c>
      <c r="M98" s="1">
        <f>'[9]ข้อมูลตัด ถ่านหิน'!D11</f>
        <v>66.3</v>
      </c>
      <c r="N98" s="3">
        <f>IFERROR(Condensate[[#This Row],[ยอดการใช้ Steam BHS]]*100/Condensate[[#This Row],[รวมยอดใช้สตีม]]/100,0)</f>
        <v>0.3900643974240704</v>
      </c>
      <c r="O98" s="3">
        <f>IFERROR(Condensate[[#This Row],[ยอดการใช้ Steam YUELI]]*100/Condensate[[#This Row],[รวมยอดใช้สตีม]]/100,0)</f>
        <v>0.6099356025759296</v>
      </c>
      <c r="P98" s="1">
        <f>SUM(Condensate[[#This Row],[ยอดการใช้ Steam BHS]:[ยอดการใช้ Steam YUELI]])</f>
        <v>108.69999999999418</v>
      </c>
    </row>
    <row r="99" spans="1:16">
      <c r="A99" s="2">
        <v>45998</v>
      </c>
      <c r="B99" s="1">
        <f>VLOOKUP(Condensate[[#This Row],[วันที่]],'[8]TABLE DATA'!$V:$W,2,0)</f>
        <v>9</v>
      </c>
      <c r="C99" s="1">
        <f>[9]มิเตอร์น้ำ!BI9</f>
        <v>52</v>
      </c>
      <c r="D99" s="1">
        <f>Condensate[[#This Row],[มิเตอร์น้ำ Boiler]]-Condensate[[#This Row],[Soft Mark Up]]</f>
        <v>43</v>
      </c>
      <c r="E99" s="3">
        <f t="shared" si="1"/>
        <v>0.8</v>
      </c>
      <c r="F99" s="3">
        <f>IFERROR(Condensate[[#This Row],[น้ำ CONDENSATE กลับ]]/Condensate[[#This Row],[รวมยอดใช้สตีม]],0)</f>
        <v>0.93275488069373091</v>
      </c>
      <c r="G99" s="4">
        <f>(Condensate[[#This Row],[%  condensate ]]-Condensate[[#This Row],[Target]])/80*100</f>
        <v>0.16594360086716359</v>
      </c>
      <c r="H99" s="5">
        <f>IFERROR(Condensate[[#This Row],[ยอดการใช้ Steam BHS]]*Condensate[[#This Row],[น้ำ CONDENSATE กลับ]]/Condensate[[#This Row],[มิเตอร์น้ำ Boiler]],0)</f>
        <v>18.523076923096177</v>
      </c>
      <c r="I99" s="3">
        <f>IFERROR(Condensate[[#This Row],[CON Return bhs]]/Condensate[[#This Row],[ยอดการใช้ Steam BHS]],0)</f>
        <v>0.82692307692307698</v>
      </c>
      <c r="J99" s="6">
        <f>IFERROR(Condensate[[#This Row],[ยอดการใช้ Steam YUELI]]*Condensate[[#This Row],[น้ำ CONDENSATE กลับ]]/Condensate[[#This Row],[มิเตอร์น้ำ Boiler]],0)</f>
        <v>19.598076923074515</v>
      </c>
      <c r="K99" s="3">
        <f>IFERROR(Condensate[[#This Row],[CON Return yueli]]/Condensate[[#This Row],[ยอดการใช้ Steam YUELI]],0)</f>
        <v>0.82692307692307687</v>
      </c>
      <c r="L99" s="1">
        <f>'[9]ข้อมูลตัด ถ่านหิน'!C12</f>
        <v>22.400000000023283</v>
      </c>
      <c r="M99" s="1">
        <f>'[9]ข้อมูลตัด ถ่านหิน'!D12</f>
        <v>23.69999999999709</v>
      </c>
      <c r="N99" s="3">
        <f>IFERROR(Condensate[[#This Row],[ยอดการใช้ Steam BHS]]*100/Condensate[[#This Row],[รวมยอดใช้สตีม]]/100,0)</f>
        <v>0.48590021692002999</v>
      </c>
      <c r="O99" s="3">
        <f>IFERROR(Condensate[[#This Row],[ยอดการใช้ Steam YUELI]]*100/Condensate[[#This Row],[รวมยอดใช้สตีม]]/100,0)</f>
        <v>0.51409978307997006</v>
      </c>
      <c r="P99" s="1">
        <f>SUM(Condensate[[#This Row],[ยอดการใช้ Steam BHS]:[ยอดการใช้ Steam YUELI]])</f>
        <v>46.100000000020373</v>
      </c>
    </row>
    <row r="100" spans="1:16">
      <c r="A100" s="2">
        <v>45999</v>
      </c>
      <c r="B100" s="1">
        <f>VLOOKUP(Condensate[[#This Row],[วันที่]],'[8]TABLE DATA'!$V:$W,2,0)</f>
        <v>15</v>
      </c>
      <c r="C100" s="1">
        <f>[9]มิเตอร์น้ำ!BI10</f>
        <v>106</v>
      </c>
      <c r="D100" s="1">
        <f>Condensate[[#This Row],[มิเตอร์น้ำ Boiler]]-Condensate[[#This Row],[Soft Mark Up]]</f>
        <v>91</v>
      </c>
      <c r="E100" s="3">
        <f t="shared" si="1"/>
        <v>0.8</v>
      </c>
      <c r="F100" s="3">
        <f>IFERROR(Condensate[[#This Row],[น้ำ CONDENSATE กลับ]]/Condensate[[#This Row],[รวมยอดใช้สตีม]],0)</f>
        <v>0.85365853658545909</v>
      </c>
      <c r="G100" s="4">
        <f>(Condensate[[#This Row],[%  condensate ]]-Condensate[[#This Row],[Target]])/80*100</f>
        <v>6.7073170731823811E-2</v>
      </c>
      <c r="H100" s="5">
        <f>IFERROR(Condensate[[#This Row],[ยอดการใช้ Steam BHS]]*Condensate[[#This Row],[น้ำ CONDENSATE กลับ]]/Condensate[[#This Row],[มิเตอร์น้ำ Boiler]],0)</f>
        <v>36.743396226405103</v>
      </c>
      <c r="I100" s="3">
        <f>IFERROR(Condensate[[#This Row],[CON Return bhs]]/Condensate[[#This Row],[ยอดการใช้ Steam BHS]],0)</f>
        <v>0.85849056603773588</v>
      </c>
      <c r="J100" s="6">
        <f>IFERROR(Condensate[[#This Row],[ยอดการใช้ Steam YUELI]]*Condensate[[#This Row],[น้ำ CONDENSATE กลับ]]/Condensate[[#This Row],[มิเตอร์น้ำ Boiler]],0)</f>
        <v>54.771698113207549</v>
      </c>
      <c r="K100" s="3">
        <f>IFERROR(Condensate[[#This Row],[CON Return yueli]]/Condensate[[#This Row],[ยอดการใช้ Steam YUELI]],0)</f>
        <v>0.85849056603773588</v>
      </c>
      <c r="L100" s="1">
        <f>'[9]ข้อมูลตัด ถ่านหิน'!C13</f>
        <v>42.799999999988358</v>
      </c>
      <c r="M100" s="1">
        <f>'[9]ข้อมูลตัด ถ่านหิน'!D13</f>
        <v>63.8</v>
      </c>
      <c r="N100" s="3">
        <f>IFERROR(Condensate[[#This Row],[ยอดการใช้ Steam BHS]]*100/Condensate[[#This Row],[รวมยอดใช้สตีม]]/100,0)</f>
        <v>0.4015009380862386</v>
      </c>
      <c r="O100" s="3">
        <f>IFERROR(Condensate[[#This Row],[ยอดการใช้ Steam YUELI]]*100/Condensate[[#This Row],[รวมยอดใช้สตีม]]/100,0)</f>
        <v>0.59849906191376145</v>
      </c>
      <c r="P100" s="1">
        <f>SUM(Condensate[[#This Row],[ยอดการใช้ Steam BHS]:[ยอดการใช้ Steam YUELI]])</f>
        <v>106.59999999998836</v>
      </c>
    </row>
    <row r="101" spans="1:16">
      <c r="A101" s="2">
        <v>46000</v>
      </c>
      <c r="B101" s="1">
        <f>VLOOKUP(Condensate[[#This Row],[วันที่]],'[8]TABLE DATA'!$V:$W,2,0)</f>
        <v>19</v>
      </c>
      <c r="C101" s="1">
        <f>[9]มิเตอร์น้ำ!BI11</f>
        <v>104</v>
      </c>
      <c r="D101" s="1">
        <f>Condensate[[#This Row],[มิเตอร์น้ำ Boiler]]-Condensate[[#This Row],[Soft Mark Up]]</f>
        <v>85</v>
      </c>
      <c r="E101" s="3">
        <f t="shared" si="1"/>
        <v>0.8</v>
      </c>
      <c r="F101" s="3">
        <f>IFERROR(Condensate[[#This Row],[น้ำ CONDENSATE กลับ]]/Condensate[[#This Row],[รวมยอดใช้สตีม]],0)</f>
        <v>0.81495685522522066</v>
      </c>
      <c r="G101" s="4">
        <f>(Condensate[[#This Row],[%  condensate ]]-Condensate[[#This Row],[Target]])/80*100</f>
        <v>1.8696069031525764E-2</v>
      </c>
      <c r="H101" s="5">
        <f>IFERROR(Condensate[[#This Row],[ยอดการใช้ Steam BHS]]*Condensate[[#This Row],[น้ำ CONDENSATE กลับ]]/Condensate[[#This Row],[มิเตอร์น้ำ Boiler]],0)</f>
        <v>35.307692307701821</v>
      </c>
      <c r="I101" s="3">
        <f>IFERROR(Condensate[[#This Row],[CON Return bhs]]/Condensate[[#This Row],[ยอดการใช้ Steam BHS]],0)</f>
        <v>0.81730769230769229</v>
      </c>
      <c r="J101" s="6">
        <f>IFERROR(Condensate[[#This Row],[ยอดการใช้ Steam YUELI]]*Condensate[[#This Row],[น้ำ CONDENSATE กลับ]]/Condensate[[#This Row],[มิเตอร์น้ำ Boiler]],0)</f>
        <v>49.9375</v>
      </c>
      <c r="K101" s="3">
        <f>IFERROR(Condensate[[#This Row],[CON Return yueli]]/Condensate[[#This Row],[ยอดการใช้ Steam YUELI]],0)</f>
        <v>0.81730769230769229</v>
      </c>
      <c r="L101" s="1">
        <f>'[9]ข้อมูลตัด ถ่านหิน'!C14</f>
        <v>43.200000000011642</v>
      </c>
      <c r="M101" s="1">
        <f>'[9]ข้อมูลตัด ถ่านหิน'!D14</f>
        <v>61.1</v>
      </c>
      <c r="N101" s="3">
        <f>IFERROR(Condensate[[#This Row],[ยอดการใช้ Steam BHS]]*100/Condensate[[#This Row],[รวมยอดใช้สตีม]]/100,0)</f>
        <v>0.41418983700869438</v>
      </c>
      <c r="O101" s="3">
        <f>IFERROR(Condensate[[#This Row],[ยอดการใช้ Steam YUELI]]*100/Condensate[[#This Row],[รวมยอดใช้สตีม]]/100,0)</f>
        <v>0.58581016299130573</v>
      </c>
      <c r="P101" s="1">
        <f>SUM(Condensate[[#This Row],[ยอดการใช้ Steam BHS]:[ยอดการใช้ Steam YUELI]])</f>
        <v>104.30000000001164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75"/>
  <sheetViews>
    <sheetView topLeftCell="A160" workbookViewId="0">
      <selection activeCell="G171" sqref="G171"/>
    </sheetView>
  </sheetViews>
  <sheetFormatPr defaultRowHeight="14.25"/>
  <cols>
    <col min="6" max="6" width="10.375" bestFit="1" customWidth="1"/>
  </cols>
  <sheetData>
    <row r="1" spans="1:1">
      <c r="A1" t="s">
        <v>28</v>
      </c>
    </row>
    <row r="3" spans="1:1">
      <c r="A3" t="s">
        <v>29</v>
      </c>
    </row>
    <row r="7" spans="1:1" ht="17.25">
      <c r="A7" s="13" t="s">
        <v>30</v>
      </c>
    </row>
    <row r="8" spans="1:1">
      <c r="A8" s="14"/>
    </row>
    <row r="9" spans="1:1">
      <c r="A9" s="15" t="s">
        <v>31</v>
      </c>
    </row>
    <row r="10" spans="1:1">
      <c r="A10" s="14"/>
    </row>
    <row r="11" spans="1:1">
      <c r="A11" s="15" t="s">
        <v>32</v>
      </c>
    </row>
    <row r="12" spans="1:1">
      <c r="A12" s="14"/>
    </row>
    <row r="13" spans="1:1">
      <c r="A13" s="15" t="s">
        <v>33</v>
      </c>
    </row>
    <row r="17" spans="1:1" ht="17.25">
      <c r="A17" s="13" t="s">
        <v>34</v>
      </c>
    </row>
    <row r="19" spans="1:1">
      <c r="A19" t="s">
        <v>35</v>
      </c>
    </row>
    <row r="20" spans="1:1">
      <c r="A20" s="14"/>
    </row>
    <row r="21" spans="1:1">
      <c r="A21" s="14" t="s">
        <v>36</v>
      </c>
    </row>
    <row r="22" spans="1:1">
      <c r="A22" s="14"/>
    </row>
    <row r="23" spans="1:1">
      <c r="A23" s="14" t="s">
        <v>37</v>
      </c>
    </row>
    <row r="24" spans="1:1">
      <c r="A24" s="14"/>
    </row>
    <row r="25" spans="1:1">
      <c r="A25" s="14" t="s">
        <v>38</v>
      </c>
    </row>
    <row r="26" spans="1:1">
      <c r="A26" s="14"/>
    </row>
    <row r="27" spans="1:1">
      <c r="A27" s="14" t="s">
        <v>39</v>
      </c>
    </row>
    <row r="29" spans="1:1">
      <c r="A29" t="s">
        <v>40</v>
      </c>
    </row>
    <row r="33" spans="1:1" ht="17.25">
      <c r="A33" s="13" t="s">
        <v>41</v>
      </c>
    </row>
    <row r="35" spans="1:1">
      <c r="A35" t="s">
        <v>42</v>
      </c>
    </row>
    <row r="36" spans="1:1">
      <c r="A36" s="14"/>
    </row>
    <row r="37" spans="1:1">
      <c r="A37" s="14" t="s">
        <v>43</v>
      </c>
    </row>
    <row r="41" spans="1:1" ht="17.25">
      <c r="A41" s="13" t="s">
        <v>44</v>
      </c>
    </row>
    <row r="42" spans="1:1">
      <c r="A42" s="14"/>
    </row>
    <row r="43" spans="1:1">
      <c r="A43" s="14" t="s">
        <v>45</v>
      </c>
    </row>
    <row r="44" spans="1:1">
      <c r="A44" s="14"/>
    </row>
    <row r="45" spans="1:1">
      <c r="A45" s="14" t="s">
        <v>46</v>
      </c>
    </row>
    <row r="46" spans="1:1">
      <c r="A46" s="14"/>
    </row>
    <row r="47" spans="1:1">
      <c r="A47" s="14" t="s">
        <v>47</v>
      </c>
    </row>
    <row r="48" spans="1:1">
      <c r="A48" s="14"/>
    </row>
    <row r="49" spans="1:1">
      <c r="A49" s="14" t="s">
        <v>48</v>
      </c>
    </row>
    <row r="53" spans="1:1">
      <c r="A53" t="s">
        <v>49</v>
      </c>
    </row>
    <row r="55" spans="1:1">
      <c r="A55" t="s">
        <v>50</v>
      </c>
    </row>
    <row r="58" spans="1:1">
      <c r="A58" t="s">
        <v>51</v>
      </c>
    </row>
    <row r="62" spans="1:1" ht="17.25">
      <c r="A62" s="13" t="s">
        <v>52</v>
      </c>
    </row>
    <row r="63" spans="1:1">
      <c r="A63" s="14"/>
    </row>
    <row r="64" spans="1:1">
      <c r="A64" s="14" t="s">
        <v>53</v>
      </c>
    </row>
    <row r="65" spans="1:1">
      <c r="A65" s="14"/>
    </row>
    <row r="66" spans="1:1">
      <c r="A66" s="14" t="s">
        <v>54</v>
      </c>
    </row>
    <row r="70" spans="1:1" ht="17.25">
      <c r="A70" s="13" t="s">
        <v>55</v>
      </c>
    </row>
    <row r="71" spans="1:1">
      <c r="A71" s="14"/>
    </row>
    <row r="72" spans="1:1">
      <c r="A72" s="15" t="s">
        <v>56</v>
      </c>
    </row>
    <row r="73" spans="1:1">
      <c r="A73" s="14"/>
    </row>
    <row r="74" spans="1:1">
      <c r="A74" s="15" t="s">
        <v>57</v>
      </c>
    </row>
    <row r="75" spans="1:1">
      <c r="A75" s="14"/>
    </row>
    <row r="76" spans="1:1">
      <c r="A76" s="15" t="s">
        <v>58</v>
      </c>
    </row>
    <row r="77" spans="1:1">
      <c r="A77" s="14"/>
    </row>
    <row r="78" spans="1:1">
      <c r="A78" s="14"/>
    </row>
    <row r="79" spans="1:1">
      <c r="A79" s="16"/>
    </row>
    <row r="80" spans="1:1">
      <c r="A80" s="16" t="s">
        <v>59</v>
      </c>
    </row>
    <row r="81" spans="1:1">
      <c r="A81" s="14"/>
    </row>
    <row r="82" spans="1:1">
      <c r="A82" s="15" t="s">
        <v>60</v>
      </c>
    </row>
    <row r="83" spans="1:1">
      <c r="A83" s="14"/>
    </row>
    <row r="84" spans="1:1">
      <c r="A84" s="15" t="s">
        <v>61</v>
      </c>
    </row>
    <row r="85" spans="1:1">
      <c r="A85" s="14"/>
    </row>
    <row r="86" spans="1:1">
      <c r="A86" s="14"/>
    </row>
    <row r="87" spans="1:1">
      <c r="A87" s="16"/>
    </row>
    <row r="88" spans="1:1">
      <c r="A88" s="16" t="s">
        <v>62</v>
      </c>
    </row>
    <row r="89" spans="1:1">
      <c r="A89" s="16"/>
    </row>
    <row r="90" spans="1:1">
      <c r="A90" s="16" t="s">
        <v>63</v>
      </c>
    </row>
    <row r="91" spans="1:1">
      <c r="A91" s="14"/>
    </row>
    <row r="92" spans="1:1">
      <c r="A92" s="15" t="s">
        <v>64</v>
      </c>
    </row>
    <row r="93" spans="1:1">
      <c r="A93" s="14"/>
    </row>
    <row r="94" spans="1:1">
      <c r="A94" s="14"/>
    </row>
    <row r="95" spans="1:1">
      <c r="A95" s="16"/>
    </row>
    <row r="96" spans="1:1">
      <c r="A96" s="16" t="s">
        <v>65</v>
      </c>
    </row>
    <row r="97" spans="1:1">
      <c r="A97" s="16"/>
    </row>
    <row r="98" spans="1:1">
      <c r="A98" s="16" t="s">
        <v>66</v>
      </c>
    </row>
    <row r="99" spans="1:1">
      <c r="A99" s="14"/>
    </row>
    <row r="100" spans="1:1">
      <c r="A100" s="15" t="s">
        <v>67</v>
      </c>
    </row>
    <row r="101" spans="1:1">
      <c r="A101" s="14"/>
    </row>
    <row r="102" spans="1:1">
      <c r="A102" s="15" t="s">
        <v>68</v>
      </c>
    </row>
    <row r="103" spans="1:1">
      <c r="A103" s="14"/>
    </row>
    <row r="104" spans="1:1">
      <c r="A104" s="15" t="s">
        <v>69</v>
      </c>
    </row>
    <row r="108" spans="1:1" ht="17.25">
      <c r="A108" s="13" t="s">
        <v>70</v>
      </c>
    </row>
    <row r="109" spans="1:1">
      <c r="A109" s="14"/>
    </row>
    <row r="110" spans="1:1">
      <c r="A110" s="14" t="s">
        <v>71</v>
      </c>
    </row>
    <row r="111" spans="1:1">
      <c r="A111" s="14"/>
    </row>
    <row r="112" spans="1:1">
      <c r="A112" s="14" t="s">
        <v>72</v>
      </c>
    </row>
    <row r="116" spans="1:1" ht="17.25">
      <c r="A116" s="13" t="s">
        <v>73</v>
      </c>
    </row>
    <row r="117" spans="1:1">
      <c r="A117" s="14"/>
    </row>
    <row r="118" spans="1:1">
      <c r="A118" s="14" t="s">
        <v>74</v>
      </c>
    </row>
    <row r="119" spans="1:1">
      <c r="A119" s="14"/>
    </row>
    <row r="120" spans="1:1">
      <c r="A120" s="14" t="s">
        <v>75</v>
      </c>
    </row>
    <row r="124" spans="1:1" ht="17.25">
      <c r="A124" s="13" t="s">
        <v>76</v>
      </c>
    </row>
    <row r="125" spans="1:1">
      <c r="A125" s="14"/>
    </row>
    <row r="126" spans="1:1">
      <c r="A126" s="14" t="s">
        <v>77</v>
      </c>
    </row>
    <row r="127" spans="1:1">
      <c r="A127" s="14"/>
    </row>
    <row r="128" spans="1:1">
      <c r="A128" s="14" t="s">
        <v>78</v>
      </c>
    </row>
    <row r="130" spans="1:1">
      <c r="A130" t="s">
        <v>79</v>
      </c>
    </row>
    <row r="133" spans="1:1">
      <c r="A133" t="s">
        <v>80</v>
      </c>
    </row>
    <row r="134" spans="1:1">
      <c r="A134" s="14"/>
    </row>
    <row r="135" spans="1:1">
      <c r="A135" s="14" t="s">
        <v>81</v>
      </c>
    </row>
    <row r="137" spans="1:1" ht="17.25">
      <c r="A137" s="13" t="s">
        <v>82</v>
      </c>
    </row>
    <row r="139" spans="1:1">
      <c r="A139" s="17" t="s">
        <v>83</v>
      </c>
    </row>
    <row r="140" spans="1:1">
      <c r="A140" s="14"/>
    </row>
    <row r="141" spans="1:1">
      <c r="A141" s="14" t="s">
        <v>84</v>
      </c>
    </row>
    <row r="142" spans="1:1">
      <c r="A142" s="14"/>
    </row>
    <row r="143" spans="1:1">
      <c r="A143" s="14" t="s">
        <v>85</v>
      </c>
    </row>
    <row r="145" spans="1:2" ht="17.25">
      <c r="A145" s="13" t="s">
        <v>86</v>
      </c>
    </row>
    <row r="147" spans="1:2" ht="42.75">
      <c r="A147" s="18" t="s">
        <v>87</v>
      </c>
      <c r="B147" s="18" t="s">
        <v>88</v>
      </c>
    </row>
    <row r="148" spans="1:2" ht="128.25">
      <c r="A148" s="19" t="s">
        <v>89</v>
      </c>
      <c r="B148" s="19" t="s">
        <v>90</v>
      </c>
    </row>
    <row r="149" spans="1:2" ht="85.5">
      <c r="A149" s="19" t="s">
        <v>91</v>
      </c>
      <c r="B149" s="19" t="s">
        <v>92</v>
      </c>
    </row>
    <row r="150" spans="1:2" ht="42.75">
      <c r="A150" s="19" t="s">
        <v>93</v>
      </c>
      <c r="B150" s="19" t="s">
        <v>94</v>
      </c>
    </row>
    <row r="151" spans="1:2" ht="85.5">
      <c r="A151" s="19" t="s">
        <v>95</v>
      </c>
      <c r="B151" s="19" t="s">
        <v>96</v>
      </c>
    </row>
    <row r="153" spans="1:2" ht="17.25">
      <c r="A153" s="13" t="s">
        <v>97</v>
      </c>
    </row>
    <row r="154" spans="1:2">
      <c r="A154" s="14"/>
    </row>
    <row r="155" spans="1:2">
      <c r="A155" s="14" t="s">
        <v>98</v>
      </c>
    </row>
    <row r="156" spans="1:2">
      <c r="A156" s="14"/>
    </row>
    <row r="157" spans="1:2">
      <c r="A157" s="14" t="s">
        <v>99</v>
      </c>
    </row>
    <row r="158" spans="1:2">
      <c r="A158" s="14"/>
    </row>
    <row r="159" spans="1:2">
      <c r="A159" s="14" t="s">
        <v>100</v>
      </c>
    </row>
    <row r="160" spans="1:2">
      <c r="A160" s="14"/>
    </row>
    <row r="161" spans="1:9">
      <c r="A161" s="14"/>
    </row>
    <row r="162" spans="1:9">
      <c r="A162" s="16"/>
    </row>
    <row r="163" spans="1:9">
      <c r="A163" s="16" t="s">
        <v>101</v>
      </c>
    </row>
    <row r="164" spans="1:9">
      <c r="A164" s="16"/>
    </row>
    <row r="165" spans="1:9">
      <c r="A165" s="16" t="s">
        <v>102</v>
      </c>
    </row>
    <row r="167" spans="1:9">
      <c r="A167" t="s">
        <v>103</v>
      </c>
    </row>
    <row r="170" spans="1:9">
      <c r="G170" t="s">
        <v>104</v>
      </c>
      <c r="H170" t="s">
        <v>105</v>
      </c>
      <c r="I170" t="s">
        <v>106</v>
      </c>
    </row>
    <row r="171" spans="1:9">
      <c r="F171" s="20">
        <f ca="1">TODAY()</f>
        <v>46034</v>
      </c>
      <c r="G171" t="str">
        <f ca="1">TEXT($F$171,"dddd")</f>
        <v>จันทร์</v>
      </c>
      <c r="H171" t="str">
        <f ca="1">TEXT($F$171,"mmmm")</f>
        <v>มกราคม</v>
      </c>
      <c r="I171" t="str">
        <f ca="1">TEXT($F$171,"yyyy")</f>
        <v>2026</v>
      </c>
    </row>
    <row r="172" spans="1:9">
      <c r="F172" s="20">
        <f t="shared" ref="F172:F175" ca="1" si="0">TODAY()</f>
        <v>46034</v>
      </c>
      <c r="G172" t="str">
        <f ca="1">TEXT($F$172,"ddd")</f>
        <v>จ.</v>
      </c>
      <c r="H172" t="str">
        <f ca="1">TEXT($F$172,"mmm")</f>
        <v>ม.ค.</v>
      </c>
      <c r="I172" t="str">
        <f ca="1">TEXT($F$172,"yy")</f>
        <v>26</v>
      </c>
    </row>
    <row r="173" spans="1:9">
      <c r="F173" s="20">
        <f t="shared" ca="1" si="0"/>
        <v>46034</v>
      </c>
    </row>
    <row r="174" spans="1:9">
      <c r="F174" s="20">
        <f t="shared" ca="1" si="0"/>
        <v>46034</v>
      </c>
    </row>
    <row r="175" spans="1:9">
      <c r="F175" s="20">
        <f t="shared" ca="1" si="0"/>
        <v>46034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5</xdr:col>
                    <xdr:colOff>57150</xdr:colOff>
                    <xdr:row>168</xdr:row>
                    <xdr:rowOff>123825</xdr:rowOff>
                  </from>
                  <to>
                    <xdr:col>6</xdr:col>
                    <xdr:colOff>180975</xdr:colOff>
                    <xdr:row>170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7"/>
  <sheetViews>
    <sheetView workbookViewId="0">
      <selection activeCell="F7" sqref="F7"/>
    </sheetView>
  </sheetViews>
  <sheetFormatPr defaultRowHeight="14.25"/>
  <cols>
    <col min="1" max="1" width="10.75" bestFit="1" customWidth="1"/>
    <col min="7" max="7" width="12.875" customWidth="1"/>
    <col min="9" max="9" width="19.375" customWidth="1"/>
  </cols>
  <sheetData>
    <row r="2" spans="2:11" ht="24" customHeight="1"/>
    <row r="3" spans="2:11" ht="20.25" customHeight="1">
      <c r="B3" s="40" t="s">
        <v>111</v>
      </c>
      <c r="C3" s="36"/>
      <c r="D3" s="36"/>
      <c r="E3" s="36"/>
      <c r="F3" s="36"/>
    </row>
    <row r="5" spans="2:11">
      <c r="B5" s="17" t="s">
        <v>112</v>
      </c>
    </row>
    <row r="6" spans="2:11" ht="19.5">
      <c r="I6" s="30" t="s">
        <v>153</v>
      </c>
    </row>
    <row r="7" spans="2:11" ht="21" customHeight="1">
      <c r="B7" s="25" t="s">
        <v>108</v>
      </c>
      <c r="C7" s="25" t="s">
        <v>107</v>
      </c>
      <c r="D7" s="25">
        <v>20.9</v>
      </c>
      <c r="E7" s="25">
        <v>7</v>
      </c>
      <c r="F7" s="25" t="s">
        <v>125</v>
      </c>
      <c r="G7" s="25" t="s">
        <v>149</v>
      </c>
      <c r="H7" s="25" t="s">
        <v>150</v>
      </c>
      <c r="I7" s="45" t="s">
        <v>151</v>
      </c>
      <c r="J7" s="46"/>
      <c r="K7" s="28" t="s">
        <v>154</v>
      </c>
    </row>
    <row r="8" spans="2:11" ht="21" customHeight="1">
      <c r="B8" s="26"/>
      <c r="C8" s="26"/>
      <c r="D8" s="26">
        <v>20.9</v>
      </c>
      <c r="E8" s="26">
        <v>7</v>
      </c>
      <c r="F8" s="24">
        <f>F11</f>
        <v>11.04</v>
      </c>
      <c r="G8" s="26">
        <f>20.9-7</f>
        <v>13.899999999999999</v>
      </c>
      <c r="H8" s="26">
        <f>20.9-F8</f>
        <v>9.86</v>
      </c>
      <c r="I8" s="47">
        <f>I11*(G8/H8)</f>
        <v>422.92089249492903</v>
      </c>
      <c r="J8" s="48"/>
      <c r="K8" s="29" t="s">
        <v>155</v>
      </c>
    </row>
    <row r="9" spans="2:11" ht="19.5">
      <c r="I9" s="30" t="s">
        <v>152</v>
      </c>
    </row>
    <row r="10" spans="2:11" ht="21" customHeight="1">
      <c r="B10" s="25" t="s">
        <v>108</v>
      </c>
      <c r="C10" s="25" t="s">
        <v>107</v>
      </c>
      <c r="D10" s="25">
        <v>20.9</v>
      </c>
      <c r="E10" s="25">
        <v>7</v>
      </c>
      <c r="F10" s="25" t="s">
        <v>125</v>
      </c>
      <c r="G10" s="25" t="s">
        <v>149</v>
      </c>
      <c r="H10" s="25" t="s">
        <v>150</v>
      </c>
      <c r="I10" s="45" t="s">
        <v>156</v>
      </c>
      <c r="J10" s="46"/>
    </row>
    <row r="11" spans="2:11" ht="21" customHeight="1">
      <c r="B11" s="27"/>
      <c r="C11" s="27"/>
      <c r="D11" s="27">
        <v>20.9</v>
      </c>
      <c r="E11" s="27">
        <v>7</v>
      </c>
      <c r="F11" s="24">
        <v>11.04</v>
      </c>
      <c r="G11" s="27">
        <f>20.9-7</f>
        <v>13.899999999999999</v>
      </c>
      <c r="H11" s="27">
        <f>20.9-F11</f>
        <v>9.86</v>
      </c>
      <c r="I11" s="47">
        <v>300</v>
      </c>
      <c r="J11" s="48"/>
    </row>
    <row r="12" spans="2:11" ht="21" customHeight="1">
      <c r="B12" s="31"/>
      <c r="C12" s="31"/>
      <c r="D12" s="31"/>
      <c r="E12" s="31"/>
      <c r="F12" s="31"/>
      <c r="G12" s="31"/>
      <c r="H12" s="31"/>
      <c r="I12" s="37" t="s">
        <v>117</v>
      </c>
      <c r="J12" s="31"/>
    </row>
    <row r="13" spans="2:11" ht="15" thickBot="1">
      <c r="B13" s="32"/>
      <c r="C13" s="32"/>
      <c r="D13" s="32"/>
      <c r="E13" s="32"/>
      <c r="F13" s="32"/>
      <c r="G13" s="32"/>
      <c r="H13" s="32"/>
      <c r="I13" s="33" t="s">
        <v>118</v>
      </c>
      <c r="J13" s="32"/>
    </row>
    <row r="14" spans="2:11" ht="18">
      <c r="I14" s="38" t="s">
        <v>152</v>
      </c>
      <c r="J14" s="34"/>
    </row>
    <row r="15" spans="2:11">
      <c r="I15" s="45" t="s">
        <v>158</v>
      </c>
      <c r="J15" s="46"/>
    </row>
    <row r="16" spans="2:11">
      <c r="I16" s="49">
        <f>I8*(H11/G11)</f>
        <v>300</v>
      </c>
      <c r="J16" s="50"/>
    </row>
    <row r="17" spans="9:10" ht="18">
      <c r="I17" s="39" t="s">
        <v>153</v>
      </c>
      <c r="J17" s="35"/>
    </row>
    <row r="18" spans="9:10">
      <c r="I18" s="41" t="s">
        <v>157</v>
      </c>
      <c r="J18" s="42"/>
    </row>
    <row r="19" spans="9:10" ht="15" thickBot="1">
      <c r="I19" s="43">
        <f>I11*(G11/H11)</f>
        <v>422.92089249492903</v>
      </c>
      <c r="J19" s="44"/>
    </row>
    <row r="23" spans="9:10">
      <c r="I23" t="s">
        <v>109</v>
      </c>
    </row>
    <row r="24" spans="9:10">
      <c r="I24" t="s">
        <v>110</v>
      </c>
    </row>
    <row r="47" spans="14:14" ht="30">
      <c r="N47" s="21" t="s">
        <v>111</v>
      </c>
    </row>
    <row r="49" spans="14:14">
      <c r="N49" s="17" t="s">
        <v>112</v>
      </c>
    </row>
    <row r="51" spans="14:14">
      <c r="N51" t="s">
        <v>113</v>
      </c>
    </row>
    <row r="53" spans="14:14">
      <c r="N53" s="22" t="e">
        <f xml:space="preserve"> A18 * (20.9 - 7) / (20.9 -#REF!)</f>
        <v>#REF!</v>
      </c>
    </row>
    <row r="54" spans="14:14">
      <c r="N54" s="14"/>
    </row>
    <row r="55" spans="14:14">
      <c r="N55" s="14" t="s">
        <v>114</v>
      </c>
    </row>
    <row r="56" spans="14:14">
      <c r="N56" s="16"/>
    </row>
    <row r="57" spans="14:14">
      <c r="N57" s="16" t="s">
        <v>115</v>
      </c>
    </row>
    <row r="58" spans="14:14">
      <c r="N58" s="16"/>
    </row>
    <row r="59" spans="14:14">
      <c r="N59" s="16" t="s">
        <v>116</v>
      </c>
    </row>
    <row r="63" spans="14:14" ht="30">
      <c r="N63" s="21" t="s">
        <v>117</v>
      </c>
    </row>
    <row r="65" spans="14:14">
      <c r="N65" s="17" t="s">
        <v>118</v>
      </c>
    </row>
    <row r="67" spans="14:14">
      <c r="N67" t="s">
        <v>113</v>
      </c>
    </row>
    <row r="69" spans="14:14">
      <c r="N69" s="22" t="e">
        <f xml:space="preserve"> A18 * (20.9 -#REF!) / (20.9 - 7)</f>
        <v>#REF!</v>
      </c>
    </row>
    <row r="70" spans="14:14">
      <c r="N70" s="14"/>
    </row>
    <row r="71" spans="14:14">
      <c r="N71" s="14" t="s">
        <v>114</v>
      </c>
    </row>
    <row r="72" spans="14:14">
      <c r="N72" s="16"/>
    </row>
    <row r="73" spans="14:14">
      <c r="N73" s="16" t="s">
        <v>119</v>
      </c>
    </row>
    <row r="74" spans="14:14">
      <c r="N74" s="16"/>
    </row>
    <row r="75" spans="14:14">
      <c r="N75" s="16" t="s">
        <v>116</v>
      </c>
    </row>
    <row r="79" spans="14:14" ht="30">
      <c r="N79" s="21" t="s">
        <v>120</v>
      </c>
    </row>
    <row r="80" spans="14:14">
      <c r="N80" s="14"/>
    </row>
    <row r="81" spans="14:14">
      <c r="N81" s="14" t="s">
        <v>121</v>
      </c>
    </row>
    <row r="82" spans="14:14">
      <c r="N82" s="14"/>
    </row>
    <row r="83" spans="14:14">
      <c r="N83" s="14" t="s">
        <v>116</v>
      </c>
    </row>
    <row r="84" spans="14:14">
      <c r="N84" s="14"/>
    </row>
    <row r="85" spans="14:14">
      <c r="N85" s="14" t="s">
        <v>122</v>
      </c>
    </row>
    <row r="87" spans="14:14">
      <c r="N87" t="s">
        <v>123</v>
      </c>
    </row>
    <row r="89" spans="14:14">
      <c r="N89" s="17" t="s">
        <v>124</v>
      </c>
    </row>
    <row r="91" spans="14:14">
      <c r="N91" t="s">
        <v>126</v>
      </c>
    </row>
    <row r="92" spans="14:14">
      <c r="N92" t="s">
        <v>127</v>
      </c>
    </row>
    <row r="96" spans="14:14" ht="22.5">
      <c r="N96" s="23" t="s">
        <v>128</v>
      </c>
    </row>
    <row r="98" spans="14:14" ht="17.25">
      <c r="N98" s="13" t="s">
        <v>129</v>
      </c>
    </row>
    <row r="100" spans="14:14">
      <c r="N100" t="s">
        <v>130</v>
      </c>
    </row>
    <row r="101" spans="14:14">
      <c r="N101" t="s">
        <v>131</v>
      </c>
    </row>
    <row r="103" spans="14:14">
      <c r="N103" t="s">
        <v>132</v>
      </c>
    </row>
    <row r="107" spans="14:14" ht="17.25">
      <c r="N107" s="13" t="s">
        <v>133</v>
      </c>
    </row>
    <row r="109" spans="14:14">
      <c r="N109" t="s">
        <v>134</v>
      </c>
    </row>
    <row r="110" spans="14:14">
      <c r="N110" t="s">
        <v>135</v>
      </c>
    </row>
    <row r="111" spans="14:14">
      <c r="N111" t="s">
        <v>136</v>
      </c>
    </row>
    <row r="115" spans="14:14" ht="22.5">
      <c r="N115" s="23" t="s">
        <v>137</v>
      </c>
    </row>
    <row r="117" spans="14:14">
      <c r="N117" t="s">
        <v>138</v>
      </c>
    </row>
    <row r="121" spans="14:14" ht="22.5">
      <c r="N121" s="23" t="s">
        <v>139</v>
      </c>
    </row>
    <row r="123" spans="14:14">
      <c r="N123" t="s">
        <v>140</v>
      </c>
    </row>
    <row r="127" spans="14:14" ht="22.5">
      <c r="N127" s="23" t="s">
        <v>141</v>
      </c>
    </row>
    <row r="129" spans="14:14">
      <c r="N129" t="s">
        <v>142</v>
      </c>
    </row>
    <row r="130" spans="14:14">
      <c r="N130" t="s">
        <v>143</v>
      </c>
    </row>
    <row r="132" spans="14:14">
      <c r="N132" t="s">
        <v>144</v>
      </c>
    </row>
    <row r="134" spans="14:14">
      <c r="N134" s="22" t="s">
        <v>109</v>
      </c>
    </row>
    <row r="135" spans="14:14">
      <c r="N135" s="22" t="s">
        <v>110</v>
      </c>
    </row>
    <row r="137" spans="14:14">
      <c r="N137" t="s">
        <v>145</v>
      </c>
    </row>
    <row r="141" spans="14:14" ht="22.5">
      <c r="N141" s="23" t="s">
        <v>146</v>
      </c>
    </row>
    <row r="143" spans="14:14">
      <c r="N143" t="s">
        <v>147</v>
      </c>
    </row>
    <row r="147" spans="14:14">
      <c r="N147" t="s">
        <v>148</v>
      </c>
    </row>
  </sheetData>
  <mergeCells count="8">
    <mergeCell ref="I18:J18"/>
    <mergeCell ref="I19:J19"/>
    <mergeCell ref="I7:J7"/>
    <mergeCell ref="I10:J10"/>
    <mergeCell ref="I11:J11"/>
    <mergeCell ref="I8:J8"/>
    <mergeCell ref="I15:J15"/>
    <mergeCell ref="I16:J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Pivote</vt:lpstr>
      <vt:lpstr>Ghap</vt:lpstr>
      <vt:lpstr>%condent</vt:lpstr>
      <vt:lpstr>Sheet1</vt:lpstr>
      <vt:lpstr>สูตรคำนวนอากาศ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nb.boiler</dc:creator>
  <cp:lastModifiedBy>nb.boiler</cp:lastModifiedBy>
  <dcterms:created xsi:type="dcterms:W3CDTF">2025-09-22T05:51:53Z</dcterms:created>
  <dcterms:modified xsi:type="dcterms:W3CDTF">2026-01-12T08:04:47Z</dcterms:modified>
</cp:coreProperties>
</file>